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Agent Roster" sheetId="2" state="visible" r:id="rId4"/>
    <sheet name="WBS" sheetId="3" state="visible" r:id="rId5"/>
    <sheet name="Timeline" sheetId="4" state="visible" r:id="rId6"/>
    <sheet name="RACI" sheetId="5" state="visible" r:id="rId7"/>
    <sheet name="Traceability AC" sheetId="6" state="visible" r:id="rId8"/>
    <sheet name="Status Modul" sheetId="7" state="visible" r:id="rId9"/>
    <sheet name="Gates" sheetId="8" state="visible" r:id="rId10"/>
    <sheet name="Risiko" sheetId="9" state="visible" r:id="rId11"/>
  </sheets>
  <definedNames>
    <definedName function="false" hidden="true" localSheetId="1" name="_xlnm._FilterDatabase" vbProcedure="false">'Agent Roster'!$A$3:$O$27</definedName>
    <definedName function="false" hidden="true" localSheetId="7" name="_xlnm._FilterDatabase" vbProcedure="false">Gates!$A$3:$F$21</definedName>
    <definedName function="false" hidden="true" localSheetId="4" name="_xlnm._FilterDatabase" vbProcedure="false">RACI!$A$3:$X$32</definedName>
    <definedName function="false" hidden="true" localSheetId="8" name="_xlnm._FilterDatabase" vbProcedure="false">Risiko!$A$3:$F$32</definedName>
    <definedName function="false" hidden="true" localSheetId="6" name="_xlnm._FilterDatabase" vbProcedure="false">'Status Modul'!$A$3:$G$33</definedName>
    <definedName function="false" hidden="true" localSheetId="5" name="_xlnm._FilterDatabase" vbProcedure="false">'Traceability AC'!$A$3:$F$47</definedName>
    <definedName function="false" hidden="true" localSheetId="2" name="_xlnm._FilterDatabase" vbProcedure="false">WBS!$A$3:$S$140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<sst xmlns="http://schemas.openxmlformats.org/spreadsheetml/2006/main" count="3464" uniqueCount="1666">
  <si>
    <t xml:space="preserve">KodeKantor — WBS Pembagian Kerja Full Agentic</t>
  </si>
  <si>
    <t xml:space="preserve">Sumber: PRD KodeKantor v1.0 (21 Okt 2026) · Rancangan: docs/ARCHITECTURE.md &amp; DECISIONS.md · Snapshot 21 Okt 2026</t>
  </si>
  <si>
    <t xml:space="preserve">Status program</t>
  </si>
  <si>
    <t xml:space="preserve">Rancangan (Phase 0) selesai disusun &amp; direview independen; penguncian formal menunggu gate G0 (keputusan PO). Implementasi Wave 1–2 sempat berjalan lalu DIHENTIKAN atas instruksi Product Owner; kode tersimpan sebagai snapshot yang belum diintegrasikan end-to-end. Tidak ada klaim MVP selesai.</t>
  </si>
  <si>
    <t xml:space="preserve">Metrik</t>
  </si>
  <si>
    <t xml:space="preserve">Nilai</t>
  </si>
  <si>
    <t xml:space="preserve">Keterangan</t>
  </si>
  <si>
    <t xml:space="preserve">Jumlah work package</t>
  </si>
  <si>
    <t xml:space="preserve">Semua phase 0–16</t>
  </si>
  <si>
    <t xml:space="preserve">WP Selesai</t>
  </si>
  <si>
    <t xml:space="preserve">Terverifikasi</t>
  </si>
  <si>
    <t xml:space="preserve">WP Snapshot (belum terintegrasi)</t>
  </si>
  <si>
    <t xml:space="preserve">Kode + test unit/integrasi lulus</t>
  </si>
  <si>
    <t xml:space="preserve">WP Sebagian</t>
  </si>
  <si>
    <t xml:space="preserve">Ada gap tercatat</t>
  </si>
  <si>
    <t xml:space="preserve">WP Belum</t>
  </si>
  <si>
    <t xml:space="preserve">Termasuk gate manusia</t>
  </si>
  <si>
    <t xml:space="preserve">Progres (Selesai+Snapshot) / total</t>
  </si>
  <si>
    <t xml:space="preserve">Bukan % fitur jadi; ukuran WP</t>
  </si>
  <si>
    <t xml:space="preserve">Agent AI (aktual + rencana)</t>
  </si>
  <si>
    <t xml:space="preserve">AG-00..AG-21</t>
  </si>
  <si>
    <t xml:space="preserve">Peran manusia</t>
  </si>
  <si>
    <t xml:space="preserve">Product Owner, Operator</t>
  </si>
  <si>
    <t xml:space="preserve">Token aktual subagent terukur (juta)</t>
  </si>
  <si>
    <t xml:space="preserve">Dari laporan harness</t>
  </si>
  <si>
    <t xml:space="preserve">Durasi aktual subagent terukur (menit, kumulatif)</t>
  </si>
  <si>
    <t xml:space="preserve">Paralel: wall-clock jauh lebih pendek</t>
  </si>
  <si>
    <t xml:space="preserve">Estimasi token WP 'Belum' (juta) [Menebak]</t>
  </si>
  <si>
    <t xml:space="preserve">Kalibrasi dari aktual</t>
  </si>
  <si>
    <t xml:space="preserve">Estimasi jam agent WP 'Belum' [Menebak]</t>
  </si>
  <si>
    <t xml:space="preserve">Termasuk aktivitas manusia</t>
  </si>
  <si>
    <t xml:space="preserve">AC dengan test di snapshot</t>
  </si>
  <si>
    <t xml:space="preserve">Dari 20 AC</t>
  </si>
  <si>
    <t xml:space="preserve">AC sebagian</t>
  </si>
  <si>
    <t xml:space="preserve">AC-15, AC-19, AC-20</t>
  </si>
  <si>
    <t xml:space="preserve">Cara pakai</t>
  </si>
  <si>
    <t xml:space="preserve">Agent Roster</t>
  </si>
  <si>
    <t xml:space="preserve">Peran, kepemilikan file (anti konflik paralel), izin, input/output, reviewer, pemakaian aktual.</t>
  </si>
  <si>
    <t xml:space="preserve">WBS</t>
  </si>
  <si>
    <t xml:space="preserve">Work package per phase/wave dengan dependensi, FR/AC, status &amp; bukti. Ubah status lewat daftar pilihan.</t>
  </si>
  <si>
    <t xml:space="preserve">Timeline</t>
  </si>
  <si>
    <t xml:space="preserve">Matriks wave × agent otomatis dari WBS.</t>
  </si>
  <si>
    <t xml:space="preserve">RACI</t>
  </si>
  <si>
    <t xml:space="preserve">Akuntabilitas; kolom 'Jumlah A' harus 1 per aktivitas.</t>
  </si>
  <si>
    <t xml:space="preserve">Traceability AC</t>
  </si>
  <si>
    <t xml:space="preserve">AC → FR → WP pembangun → WP verifikasi.</t>
  </si>
  <si>
    <t xml:space="preserve">Status Modul / Gates / Risiko</t>
  </si>
  <si>
    <t xml:space="preserve">Ringkasan modul M01–M20, gate persetujuan manusia, risiko &amp; mitigasi.</t>
  </si>
  <si>
    <t xml:space="preserve">Aturan kerja agent</t>
  </si>
  <si>
    <t xml:space="preserve">Path milik tegas; tanpa git write (hanya AG-00 commit); kontrak berubah → ADR; tidak boleh klaim test lulus tanpa output; gate manusia tidak dapat dilewati.</t>
  </si>
  <si>
    <t xml:space="preserve">Label keyakinan</t>
  </si>
  <si>
    <t xml:space="preserve">Angka aktual = [Pasti] (diukur). Estimasi WP 'Belum' = [Menebak].</t>
  </si>
  <si>
    <t xml:space="preserve">Siapa mengerjakan apa. Aktual = pemakaian nyata subagent pada Wave 1–2 (dari laporan harness). Kosong = belum berjalan / tidak terukur.</t>
  </si>
  <si>
    <t xml:space="preserve">ID</t>
  </si>
  <si>
    <t xml:space="preserve">Peran</t>
  </si>
  <si>
    <t xml:space="preserve">Jenis</t>
  </si>
  <si>
    <t xml:space="preserve">Model / tier rekomendasi</t>
  </si>
  <si>
    <t xml:space="preserve">Tanggung jawab</t>
  </si>
  <si>
    <t xml:space="preserve">Path milik (kepemilikan file)</t>
  </si>
  <si>
    <t xml:space="preserve">Izin &amp; batasan</t>
  </si>
  <si>
    <t xml:space="preserve">Input</t>
  </si>
  <si>
    <t xml:space="preserve">Output</t>
  </si>
  <si>
    <t xml:space="preserve">Direview oleh</t>
  </si>
  <si>
    <t xml:space="preserve">Wave aktif</t>
  </si>
  <si>
    <t xml:space="preserve">Status</t>
  </si>
  <si>
    <t xml:space="preserve">Aktual token (juta)</t>
  </si>
  <si>
    <t xml:space="preserve">Aktual durasi (menit)</t>
  </si>
  <si>
    <t xml:space="preserve">Tool calls</t>
  </si>
  <si>
    <t xml:space="preserve">AG-00</t>
  </si>
  <si>
    <t xml:space="preserve">Lead Architect / Orchestrator</t>
  </si>
  <si>
    <t xml:space="preserve">AI agent (sesi utama)</t>
  </si>
  <si>
    <t xml:space="preserve">Opus (complex)</t>
  </si>
  <si>
    <t xml:space="preserve">Analisis PRD, kontrak arsitektur, ADR, pemecahan WP, brief agent, verifikasi output, integrasi, commit tunggal</t>
  </si>
  <si>
    <t xml:space="preserve">docs/{ARCHITECTURE,DATA_MODEL,API_CONTRACTS,DECISIONS,TOOL_CATALOG,CONFIGURATION,IMPLEMENTATION_TRACKER}.md, CLAUDE.md, file kontrak (agents/contracts.py, llm/base.py, tools/base.py, sandbox/client.py)</t>
  </si>
  <si>
    <t xml:space="preserve">Satu-satunya yang boleh git commit/merge; mengubah core/models/kontrak</t>
  </si>
  <si>
    <t xml:space="preserve">PRD, laporan agent, hasil test</t>
  </si>
  <si>
    <t xml:space="preserve">Kontrak terkunci, ADR, tracker, keputusan integrasi</t>
  </si>
  <si>
    <t xml:space="preserve">Product Owner (gate)</t>
  </si>
  <si>
    <t xml:space="preserve">W0–W6</t>
  </si>
  <si>
    <t xml:space="preserve">Aktif</t>
  </si>
  <si>
    <t xml:space="preserve">AG-01</t>
  </si>
  <si>
    <t xml:space="preserve">Backend Core</t>
  </si>
  <si>
    <t xml:space="preserve">AI agent</t>
  </si>
  <si>
    <t xml:space="preserve">Opus/Sonnet (default)</t>
  </si>
  <si>
    <t xml:space="preserve">Config fail-fast, DB &amp; 28 tabel + migrasi, error envelope, logging+redaksi, RBAC, auth/sesi/CSRF, events, audit, state machine, Celery app, fixture test bersama</t>
  </si>
  <si>
    <t xml:space="preserve">backend/pyproject, alembic/, app/{main,cli}.py, app/core/, app/models/, app/api/{deps,router}.py, routes auth/health, services auth/users, workflow/states.py, worker/celery_app.py, tests/conftest.py</t>
  </si>
  <si>
    <t xml:space="preserve">Tulis hanya path milik; tanpa git write</t>
  </si>
  <si>
    <t xml:space="preserve">ARCHITECTURE, DATA_MODEL, API_CONTRACTS, CONFIGURATION</t>
  </si>
  <si>
    <t xml:space="preserve">Fondasi backend + 417 test</t>
  </si>
  <si>
    <t xml:space="preserve">W1, W3</t>
  </si>
  <si>
    <t xml:space="preserve">Selesai (snapshot)</t>
  </si>
  <si>
    <t xml:space="preserve">AG-02</t>
  </si>
  <si>
    <t xml:space="preserve">Workspace &amp; Git</t>
  </si>
  <si>
    <t xml:space="preserve">Sonnet (default)</t>
  </si>
  <si>
    <t xml:space="preserve">Safe path, filesystem &amp; patch atomik, import arsip aman, stack detection, template project, GitAdapter ter-hardening</t>
  </si>
  <si>
    <t xml:space="preserve">app/workspace/{paths,fs,patches,archive,stack,templates_registry,templates/}, app/gitops/</t>
  </si>
  <si>
    <t xml:space="preserve">Tulis hanya path milik; repo git sementara di /tmp</t>
  </si>
  <si>
    <t xml:space="preserve">ARCHITECTURE §7, SECURITY_MODEL</t>
  </si>
  <si>
    <t xml:space="preserve">Workspace &amp; Git API + 316 test</t>
  </si>
  <si>
    <t xml:space="preserve">AG-00, AG-13</t>
  </si>
  <si>
    <t xml:space="preserve">W1</t>
  </si>
  <si>
    <t xml:space="preserve">AG-03</t>
  </si>
  <si>
    <t xml:space="preserve">Sandbox &amp; Runtime</t>
  </si>
  <si>
    <t xml:space="preserve">Sandbox-manager (profil tetap), image sandbox Python/Node, klien HTTP backend, hardening (.git mask, no auto-pull, socket-proxy)</t>
  </si>
  <si>
    <t xml:space="preserve">sandbox_manager/, sandbox-images/, app/sandbox/{http_client,profiles,junit,factory}.py</t>
  </si>
  <si>
    <t xml:space="preserve">Boleh akses Docker daemon lokal untuk test; tanpa git write</t>
  </si>
  <si>
    <t xml:space="preserve">API_CONTRACTS §10, TOOL_CATALOG, ADR-009</t>
  </si>
  <si>
    <t xml:space="preserve">Service sandbox + 207 unit + 23 test Docker nyata</t>
  </si>
  <si>
    <t xml:space="preserve">W1 (+hardening)</t>
  </si>
  <si>
    <t xml:space="preserve">Selesai</t>
  </si>
  <si>
    <t xml:space="preserve">AG-04</t>
  </si>
  <si>
    <t xml:space="preserve">Frontend Foundation</t>
  </si>
  <si>
    <t xml:space="preserve">Scaffold React/Vite/TS, design tokens KodeKantor, UI kit Radix, API client + SSE, i18n, auth, dashboard, projects, agents, approvals</t>
  </si>
  <si>
    <t xml:space="preserve">frontend/ (kecuali feature folder milik AG-10/AG-11)</t>
  </si>
  <si>
    <t xml:space="preserve">Tanpa git write</t>
  </si>
  <si>
    <t xml:space="preserve">API_CONTRACTS, PRD §4</t>
  </si>
  <si>
    <t xml:space="preserve">Shell aplikasi + 93 test</t>
  </si>
  <si>
    <t xml:space="preserve">AG-05</t>
  </si>
  <si>
    <t xml:space="preserve">Docs &amp; Catalog</t>
  </si>
  <si>
    <t xml:space="preserve">PRD.md, FR_CATALOG (159 FR), registry 42 agent + validator, AGENT_CATALOG, SECURITY_MODEL, USER_PROXY_ACCEPTANCE, TEST_STRATEGY, ROADMAP</t>
  </si>
  <si>
    <t xml:space="preserve">docs/{PRD,FR_CATALOG,AGENT_CATALOG,SECURITY_MODEL,USER_PROXY_ACCEPTANCE,TEST_STRATEGY,IMPLEMENTATION_ROADMAP}.md, agents/, scripts/validate_registry.py</t>
  </si>
  <si>
    <t xml:space="preserve">PRD lengkap, kontrak</t>
  </si>
  <si>
    <t xml:space="preserve">Traceability &amp; katalog</t>
  </si>
  <si>
    <t xml:space="preserve">AG-00, PO</t>
  </si>
  <si>
    <t xml:space="preserve">AG-06</t>
  </si>
  <si>
    <t xml:space="preserve">Infra &amp; DevOps</t>
  </si>
  <si>
    <t xml:space="preserve">Compose 11 service, Caddy, docker-socket-proxy, egress proxy, Dockerfile, CI (lint/test/security/e2e/sbom), backup/restore, runbook</t>
  </si>
  <si>
    <t xml:space="preserve">infra/, .env.example, Makefile, .github/, backend/Dockerfile, frontend/Dockerfile, scripts/*.sh, docs/{RUNBOOK,DEPLOYMENT}.md, README.md</t>
  </si>
  <si>
    <t xml:space="preserve">Boleh build/run container lokal; tanpa git write</t>
  </si>
  <si>
    <t xml:space="preserve">ARCHITECTURE §2/§12, CONFIGURATION</t>
  </si>
  <si>
    <t xml:space="preserve">Topologi deploy tervalidasi</t>
  </si>
  <si>
    <t xml:space="preserve">W1, W5</t>
  </si>
  <si>
    <t xml:space="preserve">AG-07</t>
  </si>
  <si>
    <t xml:space="preserve">Agentic Core</t>
  </si>
  <si>
    <t xml:space="preserve">Adapter Claude (streaming, retry, cache, error mapping), ScriptedProvider + skenario, Tool Gateway &amp; policy, builtin tools, agent runtime &amp; prompt, approvals, budget, usage, settings</t>
  </si>
  <si>
    <t xml:space="preserve">app/llm/*, app/tools/*, app/agents/{registry,runtime,factory,prompting,prompts/}, workflow/budget.py, services+routes approvals/usage/agents/settings</t>
  </si>
  <si>
    <t xml:space="preserve">Tanpa git write; tanpa API key nyata</t>
  </si>
  <si>
    <t xml:space="preserve">TOOL_CATALOG, contracts.py, PRD §7.3</t>
  </si>
  <si>
    <t xml:space="preserve">Runtime agent + 201 test</t>
  </si>
  <si>
    <t xml:space="preserve">W2, W3</t>
  </si>
  <si>
    <t xml:space="preserve">AG-08</t>
  </si>
  <si>
    <t xml:space="preserve">Workflow &amp; Acceptance</t>
  </si>
  <si>
    <t xml:space="preserve">Orchestrator S1–S10, lease/checkpoint/recovery/cancel, SSE, chat, test runner, review, User Proxy evidence verification, gate, remediasi, deployments P2</t>
  </si>
  <si>
    <t xml:space="preserve">app/workflow/{engine,steps,lease,recovery,dispatch,context,checkpoint,gate,approval_handlers}.py, worker/jobs.py, services+routes tasks/conversations/events/testing/terminal/reviews/acceptance/artifacts/deployments</t>
  </si>
  <si>
    <t xml:space="preserve">ARCHITECTURE §5, USER_PROXY_ACCEPTANCE</t>
  </si>
  <si>
    <t xml:space="preserve">Engine workflow + 178 test</t>
  </si>
  <si>
    <t xml:space="preserve">AG-09</t>
  </si>
  <si>
    <t xml:space="preserve">Platform Services</t>
  </si>
  <si>
    <t xml:space="preserve">Projects &amp; import, workspace/git API, search &amp; index, knowledge, dashboard, admin &amp; policies, audit query</t>
  </si>
  <si>
    <t xml:space="preserve">app/workspace/{search,symbols}.py, services+routes projects/workspace/git/repository/indexing/knowledge/dashboard/admin/audit, worker/platform_jobs.py</t>
  </si>
  <si>
    <t xml:space="preserve">API_CONTRACTS §3/§4/§9</t>
  </si>
  <si>
    <t xml:space="preserve">Layanan platform + 131 test</t>
  </si>
  <si>
    <t xml:space="preserve">AG-10</t>
  </si>
  <si>
    <t xml:space="preserve">Frontend Workspace</t>
  </si>
  <si>
    <t xml:space="preserve">IDE (explorer, Monaco, chat, terminal read-only), task detail &amp; plan, diff review, testing, User Proxy validation, preview</t>
  </si>
  <si>
    <t xml:space="preserve">frontend/src/features/{workspace,tasks,review,testing,acceptance,preview}, hooks terkait</t>
  </si>
  <si>
    <t xml:space="preserve">API_CONTRACTS §4/§5/§7/§8, PRD §4</t>
  </si>
  <si>
    <t xml:space="preserve">Layar inti + 77 test</t>
  </si>
  <si>
    <t xml:space="preserve">AG-11</t>
  </si>
  <si>
    <t xml:space="preserve">Frontend Admin</t>
  </si>
  <si>
    <t xml:space="preserve">Settings provider (tanpa input API key), usage &amp; budget, users, policies, audit, knowledge, deployments</t>
  </si>
  <si>
    <t xml:space="preserve">frontend/src/features/{settings,admin,knowledge,deployments}, hooks terkait</t>
  </si>
  <si>
    <t xml:space="preserve">API_CONTRACTS §9, ADR-004/011</t>
  </si>
  <si>
    <t xml:space="preserve">Layar admin + 81 test</t>
  </si>
  <si>
    <t xml:space="preserve">AG-12</t>
  </si>
  <si>
    <t xml:space="preserve">Integration &amp; E2E QA</t>
  </si>
  <si>
    <t xml:space="preserve">AI agent (rencana)</t>
  </si>
  <si>
    <t xml:space="preserve">Stack penuh dengan scripted provider, Playwright happy path &amp; remediasi, clean-install smoke, perbaikan integrasi via brief Lead</t>
  </si>
  <si>
    <t xml:space="preserve">tests/e2e/, CI job e2e/clean-install</t>
  </si>
  <si>
    <t xml:space="preserve">Tanpa git write; lingkungan Docker</t>
  </si>
  <si>
    <t xml:space="preserve">Snapshot kode, TEST_STRATEGY</t>
  </si>
  <si>
    <t xml:space="preserve">Bukti E2E AC-01..AC-20</t>
  </si>
  <si>
    <t xml:space="preserve">W3–W4</t>
  </si>
  <si>
    <t xml:space="preserve">Belum dimulai</t>
  </si>
  <si>
    <t xml:space="preserve">AG-13</t>
  </si>
  <si>
    <t xml:space="preserve">Security Reviewer</t>
  </si>
  <si>
    <t xml:space="preserve">Review independen read-only, test keamanan (path, symlink, prompt injection, approval replay, limit container, secret leak), sign-off 🔒</t>
  </si>
  <si>
    <t xml:space="preserve">backend/tests/security/ (bersama QA); selain itu read-only</t>
  </si>
  <si>
    <t xml:space="preserve">Read-only kecuali test keamanan</t>
  </si>
  <si>
    <t xml:space="preserve">SECURITY_MODEL, diff per WP</t>
  </si>
  <si>
    <t xml:space="preserve">Laporan &amp; sign-off keamanan</t>
  </si>
  <si>
    <t xml:space="preserve">PO</t>
  </si>
  <si>
    <t xml:space="preserve">W3–W5</t>
  </si>
  <si>
    <t xml:space="preserve">AG-14</t>
  </si>
  <si>
    <t xml:space="preserve">Release &amp; Staging</t>
  </si>
  <si>
    <t xml:space="preserve">Deploy staging VPS, drill backup/restore, gVisor, smoke, rollback rehearsal — bersama Operator manusia</t>
  </si>
  <si>
    <t xml:space="preserve">infra/ (bersama AG-06), docs/RUNBOOK.md</t>
  </si>
  <si>
    <t xml:space="preserve">Akses VPS staging via Operator; tidak ke production</t>
  </si>
  <si>
    <t xml:space="preserve">RUNBOOK, DEPLOYMENT</t>
  </si>
  <si>
    <t xml:space="preserve">Staging teruji</t>
  </si>
  <si>
    <t xml:space="preserve">Operator, PO</t>
  </si>
  <si>
    <t xml:space="preserve">W5</t>
  </si>
  <si>
    <t xml:space="preserve">AG-15</t>
  </si>
  <si>
    <t xml:space="preserve">Specialist Rollout</t>
  </si>
  <si>
    <t xml:space="preserve">Sonnet/Opus per agent</t>
  </si>
  <si>
    <t xml:space="preserve">Aktivasi 22 agent planned per wave: prompt, kontrak, eval set, contract test, ukur manfaat</t>
  </si>
  <si>
    <t xml:space="preserve">agents/registry.yaml (enable), app/agents/prompts/, eval set</t>
  </si>
  <si>
    <t xml:space="preserve">AGENT_CATALOG, metrik pilot</t>
  </si>
  <si>
    <t xml:space="preserve">Specialist aktif terukur</t>
  </si>
  <si>
    <t xml:space="preserve">W6</t>
  </si>
  <si>
    <t xml:space="preserve">AG-16</t>
  </si>
  <si>
    <t xml:space="preserve">Design Reviewer (independen)</t>
  </si>
  <si>
    <t xml:space="preserve">Review adversarial rancangan vs PRD: cakupan, konsistensi, kualitas WBS, keamanan desain</t>
  </si>
  <si>
    <t xml:space="preserve">– (read-only)</t>
  </si>
  <si>
    <t xml:space="preserve">Read-only; tidak boleh mengubah file</t>
  </si>
  <si>
    <t xml:space="preserve">Seluruh paket desain + workbook WBS</t>
  </si>
  <si>
    <t xml:space="preserve">Daftar temuan bertingkat severity</t>
  </si>
  <si>
    <t xml:space="preserve">W2</t>
  </si>
  <si>
    <t xml:space="preserve">AG-17</t>
  </si>
  <si>
    <t xml:space="preserve">Demo &amp; Prototype UI</t>
  </si>
  <si>
    <t xml:space="preserve">Merekam eksekusi nyata dan membangun live demo replay + prototipe modul perluasan berlabel</t>
  </si>
  <si>
    <t xml:space="preserve">/home/claude/kodekantor-demo/ (template.html, build.py, test_replay.py)</t>
  </si>
  <si>
    <t xml:space="preserve">Tanpa git write; tidak boleh mengarang data</t>
  </si>
  <si>
    <t xml:space="preserve">demo_data.json dari rekaman nyata, PLATFORM_EXPANSION.md</t>
  </si>
  <si>
    <t xml:space="preserve">Artifact KodeKantor Replay</t>
  </si>
  <si>
    <t xml:space="preserve">W3</t>
  </si>
  <si>
    <t xml:space="preserve">AG-18</t>
  </si>
  <si>
    <t xml:space="preserve">Integrations Engineer (GitHub)</t>
  </si>
  <si>
    <t xml:space="preserve">GitHub App: instalasi, callback, webhook HMAC, token per operasi, import/pull repo privat, push branch &amp; PR via R3</t>
  </si>
  <si>
    <t xml:space="preserve">backend/app/integrations/github/, routes integrations, tabel github_*</t>
  </si>
  <si>
    <t xml:space="preserve">Tanpa git write; private key hanya di container worker-integrations (ADR-053)</t>
  </si>
  <si>
    <t xml:space="preserve">ADR-041, PLATFORM_EXPANSION §5; ADR-067 (WP-6.10)</t>
  </si>
  <si>
    <t xml:space="preserve">Integrasi GitHub teruji; klien Admin API rekonsiliasi</t>
  </si>
  <si>
    <t xml:space="preserve">W5 (WP-6.10), W7</t>
  </si>
  <si>
    <t xml:space="preserve">AG-19</t>
  </si>
  <si>
    <t xml:space="preserve">AI Portal Backend</t>
  </si>
  <si>
    <t xml:space="preserve">Assistant service: thread/stream, riset web bersitasi, engine dokumen, ImageProvider, KB leksikal (FTS + pg_trgm, ADR-046), analisis data</t>
  </si>
  <si>
    <t xml:space="preserve">backend/app/assistant/, llm/image_*, docengine/, kb/</t>
  </si>
  <si>
    <t xml:space="preserve">ADR-037..040, 044, 046, 047</t>
  </si>
  <si>
    <t xml:space="preserve">Portal AI backend + test kontrak provider; biaya capability ke monitoring (WP-10.7)</t>
  </si>
  <si>
    <t xml:space="preserve">W8–W9</t>
  </si>
  <si>
    <t xml:space="preserve">AG-20</t>
  </si>
  <si>
    <t xml:space="preserve">AI Portal Frontend</t>
  </si>
  <si>
    <t xml:space="preserve">UI Portal AI: chat, panel sitasi, pembuat dokumen, galeri gambar, KB, capability &amp; kuota</t>
  </si>
  <si>
    <t xml:space="preserve">frontend/src/features/assistant/**</t>
  </si>
  <si>
    <t xml:space="preserve">API Portal AI</t>
  </si>
  <si>
    <t xml:space="preserve">Layar Portal AI + test</t>
  </si>
  <si>
    <t xml:space="preserve">AG-00, AG-12</t>
  </si>
  <si>
    <t xml:space="preserve">AG-21</t>
  </si>
  <si>
    <t xml:space="preserve">Portfolio Full-stack</t>
  </si>
  <si>
    <t xml:space="preserve">Portal Portfolio: model konten, impor GitHub/KodeKantor, CV DOCX/PDF, asisten lamaran, situs publik + publish R3</t>
  </si>
  <si>
    <t xml:space="preserve">backend/app/portfolio/, frontend/src/features/portfolio/**</t>
  </si>
  <si>
    <t xml:space="preserve">Tanpa git write; AI hanya draft</t>
  </si>
  <si>
    <t xml:space="preserve">ADR-042</t>
  </si>
  <si>
    <t xml:space="preserve">Portal Portfolio teruji</t>
  </si>
  <si>
    <t xml:space="preserve">W10</t>
  </si>
  <si>
    <t xml:space="preserve">Product Owner (Tira)</t>
  </si>
  <si>
    <t xml:space="preserve">Manusia</t>
  </si>
  <si>
    <t xml:space="preserve">–</t>
  </si>
  <si>
    <t xml:space="preserve">Putuskan ADR Proposed, review FR turunan, setujui exit phase &amp; gate, pilih P1, setujui aktivasi agent</t>
  </si>
  <si>
    <t xml:space="preserve">Otoritas persetujuan akhir; di pilot single-owner praktis satu-satunya pemutus approval (formal: izin per action_type, API §11.1)</t>
  </si>
  <si>
    <t xml:space="preserve">Laporan Lead, tracker</t>
  </si>
  <si>
    <t xml:space="preserve">Keputusan gate</t>
  </si>
  <si>
    <t xml:space="preserve">Semua gate</t>
  </si>
  <si>
    <t xml:space="preserve">OPS</t>
  </si>
  <si>
    <t xml:space="preserve">Operator VPS</t>
  </si>
  <si>
    <t xml:space="preserve">VPS, secret (API key Claude, token sandbox), model ID &amp; budget, backup/restore drill, rotasi kunci</t>
  </si>
  <si>
    <t xml:space="preserve">Server &amp; secret store</t>
  </si>
  <si>
    <t xml:space="preserve">Akses produksi/staging</t>
  </si>
  <si>
    <t xml:space="preserve">RUNBOOK</t>
  </si>
  <si>
    <t xml:space="preserve">Lingkungan siap &amp; drill tercatat</t>
  </si>
  <si>
    <t xml:space="preserve">W3 (readiness gate), W5</t>
  </si>
  <si>
    <t xml:space="preserve">Total</t>
  </si>
  <si>
    <t xml:space="preserve">Catatan: token aktual AG-03 belum termasuk sesi hardening lanjutan (tidak dilaporkan). AG-00 (sesi utama) tidak diukur per WP.</t>
  </si>
  <si>
    <t xml:space="preserve">Work breakdown agentik per phase PRD §13. Semua kolom estimasi = [Menebak] (untuk WP selesai tanpa aktual = perkiraan retrospektif), dikalibrasi dari aktual Wave 1–2 (~0,33–0,73 juta token &amp; 9–76 menit per agent-run).</t>
  </si>
  <si>
    <t xml:space="preserve">WP ID</t>
  </si>
  <si>
    <t xml:space="preserve">Phase</t>
  </si>
  <si>
    <t xml:space="preserve">Wave</t>
  </si>
  <si>
    <t xml:space="preserve">Modul</t>
  </si>
  <si>
    <t xml:space="preserve">Work package</t>
  </si>
  <si>
    <t xml:space="preserve">Deliverable / scope</t>
  </si>
  <si>
    <t xml:space="preserve">Owner (agent)</t>
  </si>
  <si>
    <t xml:space="preserve">Reviewer / gate</t>
  </si>
  <si>
    <t xml:space="preserve">Dependensi</t>
  </si>
  <si>
    <t xml:space="preserve">FR</t>
  </si>
  <si>
    <t xml:space="preserve">AC</t>
  </si>
  <si>
    <t xml:space="preserve">Prioritas</t>
  </si>
  <si>
    <t xml:space="preserve">Bukti / evidence</t>
  </si>
  <si>
    <t xml:space="preserve">Est. durasi agent (jam)</t>
  </si>
  <si>
    <t xml:space="preserve">Est. token (juta)</t>
  </si>
  <si>
    <t xml:space="preserve">Catatan</t>
  </si>
  <si>
    <t xml:space="preserve">WP-0.1</t>
  </si>
  <si>
    <t xml:space="preserve">P0 Discovery &amp; contracts</t>
  </si>
  <si>
    <t xml:space="preserve">W0</t>
  </si>
  <si>
    <t xml:space="preserve">Semua</t>
  </si>
  <si>
    <t xml:space="preserve">Review PRD &amp; analisis gap</t>
  </si>
  <si>
    <t xml:space="preserve">Temuan: FR-001..159 tidak didefinisikan; state machine tanpa running→cancelled; akses Docker sandbox-manager tidak diatur; 8 open decisions</t>
  </si>
  <si>
    <t xml:space="preserve">P0</t>
  </si>
  <si>
    <t xml:space="preserve">DECISIONS ADR-006/009/020</t>
  </si>
  <si>
    <t xml:space="preserve">WP-0.2</t>
  </si>
  <si>
    <t xml:space="preserve">Arsitektur sistem (C4, layering, interface inti)</t>
  </si>
  <si>
    <t xml:space="preserve">ARCHITECTURE.md: container view, pemetaan M01–M20, aturan dependensi, interface LLMProvider/ToolGateway/AgentRuntime/SandboxClient/EventBus/GitAdapter, pipeline S1–S10, event, approval</t>
  </si>
  <si>
    <t xml:space="preserve">docs/ARCHITECTURE.md</t>
  </si>
  <si>
    <t xml:space="preserve">WP-0.3</t>
  </si>
  <si>
    <t xml:space="preserve">Data model</t>
  </si>
  <si>
    <t xml:space="preserve">DATA_MODEL.md: 24 entitas konseptual (→ 28 tabel), constraint, retensi</t>
  </si>
  <si>
    <t xml:space="preserve">AC-19</t>
  </si>
  <si>
    <t xml:space="preserve">docs/DATA_MODEL.md</t>
  </si>
  <si>
    <t xml:space="preserve">WP-0.4</t>
  </si>
  <si>
    <t xml:space="preserve">Kontrak API + SSE + API sandbox internal</t>
  </si>
  <si>
    <t xml:space="preserve">API_CONTRACTS.md §1–§10 (+ §11 v1.1)</t>
  </si>
  <si>
    <t xml:space="preserve">AC-05</t>
  </si>
  <si>
    <t xml:space="preserve">docs/API_CONTRACTS.md</t>
  </si>
  <si>
    <t xml:space="preserve">WP-0.5</t>
  </si>
  <si>
    <t xml:space="preserve">ADR 001–020 (termasuk 8 open decisions)</t>
  </si>
  <si>
    <t xml:space="preserve">DECISIONS.md: ADR-001..035; 9 Proposed menunggu PO</t>
  </si>
  <si>
    <t xml:space="preserve">PO (G0)</t>
  </si>
  <si>
    <t xml:space="preserve">Sebagian</t>
  </si>
  <si>
    <t xml:space="preserve">docs/DECISIONS.md</t>
  </si>
  <si>
    <t xml:space="preserve">9 ADR Proposed perlu keputusan PO</t>
  </si>
  <si>
    <t xml:space="preserve">WP-0.6</t>
  </si>
  <si>
    <t xml:space="preserve">M07, M09, M10, M17</t>
  </si>
  <si>
    <t xml:space="preserve">Kontrak tool, konfigurasi &amp; I/O agent</t>
  </si>
  <si>
    <t xml:space="preserve">TOOL_CATALOG.md, CONFIGURATION.md, agents/contracts.py, llm/base.py, tools/base.py, sandbox/client.py</t>
  </si>
  <si>
    <t xml:space="preserve">FR-041–067</t>
  </si>
  <si>
    <t xml:space="preserve">AC-06</t>
  </si>
  <si>
    <t xml:space="preserve">file kontrak di repo</t>
  </si>
  <si>
    <t xml:space="preserve">WP-0.7</t>
  </si>
  <si>
    <t xml:space="preserve">Katalog &amp; traceability</t>
  </si>
  <si>
    <t xml:space="preserve">FR_CATALOG (159 FR), registry 42 agent + validator, AGENT_CATALOG, SECURITY_MODEL, USER_PROXY_ACCEPTANCE, TEST_STRATEGY, ROADMAP</t>
  </si>
  <si>
    <t xml:space="preserve">WP-0.2..0.6</t>
  </si>
  <si>
    <t xml:space="preserve">FR-001–159</t>
  </si>
  <si>
    <t xml:space="preserve">AC-01–20</t>
  </si>
  <si>
    <t xml:space="preserve">validate_registry: OK 42 agents; 17 test validator lulus</t>
  </si>
  <si>
    <t xml:space="preserve">Draft selesai; FR turunan menunggu review PO (G0)</t>
  </si>
  <si>
    <t xml:space="preserve">WP-0.8</t>
  </si>
  <si>
    <t xml:space="preserve">Finalisasi rancangan dari temuan Wave 1–2</t>
  </si>
  <si>
    <t xml:space="preserve">ADR-021..035, API v1.1 (§11–§11.3), peta route UI, roster aktual di ROADMAP, IMPLEMENTATION_TRACKER, tindak lanjut 11 temuan review</t>
  </si>
  <si>
    <t xml:space="preserve">AG-16; PO (G0)</t>
  </si>
  <si>
    <t xml:space="preserve">WP-1.1..1.5, WP-2.1, WP-3.1, WP-3.2, WP-5.2, WP-6.1, WP-0.11</t>
  </si>
  <si>
    <t xml:space="preserve">docs/DECISIONS.md, docs/IMPLEMENTATION_TRACKER.md</t>
  </si>
  <si>
    <t xml:space="preserve">WP-0.10</t>
  </si>
  <si>
    <t xml:space="preserve">Peta route UI</t>
  </si>
  <si>
    <t xml:space="preserve">ARCHITECTURE §3.1b: route ↔ layar PRD §4 ↔ modul</t>
  </si>
  <si>
    <t xml:space="preserve">FR-007–159 (UI)</t>
  </si>
  <si>
    <t xml:space="preserve">AC-03</t>
  </si>
  <si>
    <t xml:space="preserve">docs/ARCHITECTURE.md §3.1b; frontend/src/app/routes.tsx</t>
  </si>
  <si>
    <t xml:space="preserve">Estimasi retrospektif</t>
  </si>
  <si>
    <t xml:space="preserve">WP-0.11</t>
  </si>
  <si>
    <t xml:space="preserve">Review desain independen</t>
  </si>
  <si>
    <t xml:space="preserve">11 temuan (4 High, 6 Medium, 1 Low) → semua ditindaklanjuti di dokumen &amp; WBS</t>
  </si>
  <si>
    <t xml:space="preserve">WP-0.2..0.7</t>
  </si>
  <si>
    <t xml:space="preserve">Tracker §7</t>
  </si>
  <si>
    <t xml:space="preserve">WP-0.9</t>
  </si>
  <si>
    <t xml:space="preserve">Gate G0: review PO atas FR turunan &amp; ADR Proposed</t>
  </si>
  <si>
    <t xml:space="preserve">Keputusan tertulis PO; ADR berubah status Accepted/Revised</t>
  </si>
  <si>
    <t xml:space="preserve">WP-0.7, WP-0.8</t>
  </si>
  <si>
    <t xml:space="preserve">Belum</t>
  </si>
  <si>
    <t xml:space="preserve">Aktivitas manusia</t>
  </si>
  <si>
    <t xml:space="preserve">WP-1.1</t>
  </si>
  <si>
    <t xml:space="preserve">P1 Foundation</t>
  </si>
  <si>
    <t xml:space="preserve">M01, M08, M19</t>
  </si>
  <si>
    <t xml:space="preserve">Backend core</t>
  </si>
  <si>
    <t xml:space="preserve">Config fail-fast, 28 tabel + migrasi, envelope/error, logging+redaksi, RBAC, auth/sesi/CSRF/lockout, events, audit append-only, state machine, Celery app, conftest</t>
  </si>
  <si>
    <t xml:space="preserve">FR-001–006, FR-048, FR-144–148</t>
  </si>
  <si>
    <t xml:space="preserve">AC-01, AC-15, AC-19</t>
  </si>
  <si>
    <t xml:space="preserve">Snapshot (belum terintegrasi)</t>
  </si>
  <si>
    <t xml:space="preserve">417 test milik agent lulus; suite backend 1314 lulus/2 gagal (sinkronisasi dok)</t>
  </si>
  <si>
    <t xml:space="preserve">WP-1.2</t>
  </si>
  <si>
    <t xml:space="preserve">M03, M04, M05, M15</t>
  </si>
  <si>
    <t xml:space="preserve">Safe path, patch atomik, import arsip aman, stack detection, 6 template, GitAdapter ter-hardening</t>
  </si>
  <si>
    <t xml:space="preserve">FR-012–032, FR-113–116</t>
  </si>
  <si>
    <t xml:space="preserve">AC-02, AC-03, AC-09</t>
  </si>
  <si>
    <t xml:space="preserve">316 test lulus; template lulus pytest/ruff offline</t>
  </si>
  <si>
    <t xml:space="preserve">Temuan: .git/config → eksekusi host (dimitigasi)</t>
  </si>
  <si>
    <t xml:space="preserve">WP-1.3</t>
  </si>
  <si>
    <t xml:space="preserve">M10, M11</t>
  </si>
  <si>
    <t xml:space="preserve">Sandbox manager + image + klien</t>
  </si>
  <si>
    <t xml:space="preserve">Profil tetap, HostConfig dikunci server, image uid 10001, klien HTTP backend, junit/coverage parser</t>
  </si>
  <si>
    <t xml:space="preserve">WP-0.4, WP-0.6</t>
  </si>
  <si>
    <t xml:space="preserve">FR-068–083</t>
  </si>
  <si>
    <t xml:space="preserve">AC-07, AC-08</t>
  </si>
  <si>
    <t xml:space="preserve">207 unit + 23 Docker nyata (dijalankan ulang Lead: 23 passed)</t>
  </si>
  <si>
    <t xml:space="preserve">Menunggu sign-off 🔒 AG-13</t>
  </si>
  <si>
    <t xml:space="preserve">WP-1.4</t>
  </si>
  <si>
    <t xml:space="preserve">M01, M02, M03, M07</t>
  </si>
  <si>
    <t xml:space="preserve">Frontend foundation</t>
  </si>
  <si>
    <t xml:space="preserve">Scaffold, design tokens, UI kit, API client + SSE resume, i18n id/en, login, dashboard, projects, agents, approvals</t>
  </si>
  <si>
    <t xml:space="preserve">FR-001–018, FR-041–047</t>
  </si>
  <si>
    <t xml:space="preserve">AC-01, AC-03</t>
  </si>
  <si>
    <t xml:space="preserve">93 test, build OK</t>
  </si>
  <si>
    <t xml:space="preserve">WP-1.5</t>
  </si>
  <si>
    <t xml:space="preserve">Infra</t>
  </si>
  <si>
    <t xml:space="preserve">Infra, CI &amp; runbook</t>
  </si>
  <si>
    <t xml:space="preserve">Compose 11 service + jaringan privat, Caddy, socket-proxy, egress proxy, CI keamanan, backup/restore, RUNBOOK</t>
  </si>
  <si>
    <t xml:space="preserve">FR-136–137, FR-149</t>
  </si>
  <si>
    <t xml:space="preserve">AC-20</t>
  </si>
  <si>
    <t xml:space="preserve">compose config, hadolint, shellcheck, actionlint, caddy validate, drill restore lulus</t>
  </si>
  <si>
    <t xml:space="preserve">WP-1.6</t>
  </si>
  <si>
    <t xml:space="preserve">Gate G1: clean install + health + migrasi + smoke</t>
  </si>
  <si>
    <t xml:space="preserve">make up dari nol, semua service healthy, alembic head, smoke API</t>
  </si>
  <si>
    <t xml:space="preserve">AG-00, PO (G1)</t>
  </si>
  <si>
    <t xml:space="preserve">WP-1.1..1.5, WP-INT-01</t>
  </si>
  <si>
    <t xml:space="preserve">FR-149</t>
  </si>
  <si>
    <t xml:space="preserve">Perlu diulang setelah Wave 2</t>
  </si>
  <si>
    <t xml:space="preserve">WP-2.1</t>
  </si>
  <si>
    <t xml:space="preserve">P2 Projects &amp; IDE</t>
  </si>
  <si>
    <t xml:space="preserve">M02–M05, M15, M16, M19, M20</t>
  </si>
  <si>
    <t xml:space="preserve">Platform services</t>
  </si>
  <si>
    <t xml:space="preserve">Projects (blank/template/git_https/arsip), workspace &amp; git API, search/index, knowledge, dashboard, admin, audit</t>
  </si>
  <si>
    <t xml:space="preserve">WP-1.1, WP-1.2</t>
  </si>
  <si>
    <t xml:space="preserve">FR-007–032, FR-113–127, FR-152–159</t>
  </si>
  <si>
    <t xml:space="preserve">AC-01, AC-02, AC-03, AC-19</t>
  </si>
  <si>
    <t xml:space="preserve">131 test lulus</t>
  </si>
  <si>
    <t xml:space="preserve">FR-127 belum</t>
  </si>
  <si>
    <t xml:space="preserve">WP-2.2</t>
  </si>
  <si>
    <t xml:space="preserve">M05, M06, M11</t>
  </si>
  <si>
    <t xml:space="preserve">Frontend IDE</t>
  </si>
  <si>
    <t xml:space="preserve">Explorer, Monaco lokal + save/version conflict, chat + streaming + cancel, terminal read-only</t>
  </si>
  <si>
    <t xml:space="preserve">FR-026–040, FR-077–083</t>
  </si>
  <si>
    <t xml:space="preserve">AC-03, AC-05, AC-14</t>
  </si>
  <si>
    <t xml:space="preserve">bagian dari 77 test AG-10</t>
  </si>
  <si>
    <t xml:space="preserve">Aktual tercatat di WP-5.2</t>
  </si>
  <si>
    <t xml:space="preserve">WP-3.1</t>
  </si>
  <si>
    <t xml:space="preserve">P3 First agent loop</t>
  </si>
  <si>
    <t xml:space="preserve">M07, M09, M17</t>
  </si>
  <si>
    <t xml:space="preserve">Agentic core</t>
  </si>
  <si>
    <t xml:space="preserve">Adapter Claude, ScriptedProvider (generic/calc/calc-debug/calc-gap), Tool Gateway + builtin tools, runtime, approvals, budget, usage, settings</t>
  </si>
  <si>
    <t xml:space="preserve">WP-1.1..1.3</t>
  </si>
  <si>
    <t xml:space="preserve">FR-041–067, FR-128–135</t>
  </si>
  <si>
    <t xml:space="preserve">AC-06, AC-13, AC-15, AC-16</t>
  </si>
  <si>
    <t xml:space="preserve">201 test lulus; bug log SDK (prompt bocor di DEBUG) ditemukan &amp; diperbaiki</t>
  </si>
  <si>
    <t xml:space="preserve">WP-3.2</t>
  </si>
  <si>
    <t xml:space="preserve">M06, M08</t>
  </si>
  <si>
    <t xml:space="preserve">Workflow engine</t>
  </si>
  <si>
    <t xml:space="preserve">Orchestrator S1–S10, dispatch, lease/heartbeat, checkpoint, recovery, cancel, SSE replay, chat→task</t>
  </si>
  <si>
    <t xml:space="preserve">FR-033–040, FR-048–058</t>
  </si>
  <si>
    <t xml:space="preserve">AC-04, AC-05, AC-14, AC-17</t>
  </si>
  <si>
    <t xml:space="preserve">178 test lulus termasuk 3 E2E level service via runtime nyata</t>
  </si>
  <si>
    <t xml:space="preserve">Kurang 3 transisi state (ADR-021)</t>
  </si>
  <si>
    <t xml:space="preserve">WP-4.1</t>
  </si>
  <si>
    <t xml:space="preserve">P4 Sandbox &amp; tests</t>
  </si>
  <si>
    <t xml:space="preserve">M12</t>
  </si>
  <si>
    <t xml:space="preserve">Test runner &amp; debug loop</t>
  </si>
  <si>
    <t xml:space="preserve">run_profile (status jujur), artefak junit/coverage, debugger C20 maks 5 percobaan</t>
  </si>
  <si>
    <t xml:space="preserve">WP-1.3, WP-3.2</t>
  </si>
  <si>
    <t xml:space="preserve">FR-084–094</t>
  </si>
  <si>
    <t xml:space="preserve">AC-08</t>
  </si>
  <si>
    <t xml:space="preserve">termasuk dalam 178 test AG-08</t>
  </si>
  <si>
    <t xml:space="preserve">WP-4.2</t>
  </si>
  <si>
    <t xml:space="preserve">M10</t>
  </si>
  <si>
    <t xml:space="preserve">Hardening sandbox lanjutan</t>
  </si>
  <si>
    <t xml:space="preserve">.git disembunyikan, image tanpa auto-pull, flag socket-proxy minimum</t>
  </si>
  <si>
    <t xml:space="preserve">FR-068–076</t>
  </si>
  <si>
    <t xml:space="preserve">AC-07</t>
  </si>
  <si>
    <t xml:space="preserve">23 test Docker lulus via socket-proxy (laporan agent)</t>
  </si>
  <si>
    <t xml:space="preserve">Estimasi retrospektif; menunggu sign-off 🔒</t>
  </si>
  <si>
    <t xml:space="preserve">WP-4.3</t>
  </si>
  <si>
    <t xml:space="preserve">W4</t>
  </si>
  <si>
    <t xml:space="preserve">Gate G4 🔒: security gate sebelum egress internet</t>
  </si>
  <si>
    <t xml:space="preserve">Review threat T1–T10, uji egress proxy allowlist, gVisor opsional</t>
  </si>
  <si>
    <t xml:space="preserve">PO (G4)</t>
  </si>
  <si>
    <t xml:space="preserve">WP-4.2, WP-SEC-01</t>
  </si>
  <si>
    <t xml:space="preserve">WP-5.1</t>
  </si>
  <si>
    <t xml:space="preserve">P5 Review &amp; User Proxy</t>
  </si>
  <si>
    <t xml:space="preserve">M13, M14</t>
  </si>
  <si>
    <t xml:space="preserve">Review + User Proxy backend</t>
  </si>
  <si>
    <t xml:space="preserve">Findings D22 + secret scan, verifikasi evidence (downgrade), gate S9, remediasi otomatis terbatas, waiver ter-audit</t>
  </si>
  <si>
    <t xml:space="preserve">FR-095–112</t>
  </si>
  <si>
    <t xml:space="preserve">AC-10, AC-11, AC-12, AC-18</t>
  </si>
  <si>
    <t xml:space="preserve">skenario calc-gap lulus di level service</t>
  </si>
  <si>
    <t xml:space="preserve">WP-5.2</t>
  </si>
  <si>
    <t xml:space="preserve">M05, M06, M11–M14</t>
  </si>
  <si>
    <t xml:space="preserve">Frontend workflow screens</t>
  </si>
  <si>
    <t xml:space="preserve">Task detail &amp; plan, diff review, testing, User Proxy validation, preview (P1)</t>
  </si>
  <si>
    <t xml:space="preserve">AC-09, AC-11, AC-12</t>
  </si>
  <si>
    <t xml:space="preserve">77 test AG-10; total FE 259 lulus</t>
  </si>
  <si>
    <t xml:space="preserve">WP-6.1</t>
  </si>
  <si>
    <t xml:space="preserve">P6 Product completeness</t>
  </si>
  <si>
    <t xml:space="preserve">M16–M20</t>
  </si>
  <si>
    <t xml:space="preserve">Frontend admin</t>
  </si>
  <si>
    <t xml:space="preserve">Provider (tanpa input key), usage &amp; budget, users, policies, audit, knowledge, deployments</t>
  </si>
  <si>
    <t xml:space="preserve">FR-121–159</t>
  </si>
  <si>
    <t xml:space="preserve">AC-15, AC-16, AC-19</t>
  </si>
  <si>
    <t xml:space="preserve">P1</t>
  </si>
  <si>
    <t xml:space="preserve">81 test lulus</t>
  </si>
  <si>
    <t xml:space="preserve">WP-INT-01</t>
  </si>
  <si>
    <t xml:space="preserve">P3–P5 Integrasi</t>
  </si>
  <si>
    <t xml:space="preserve">M01, M08</t>
  </si>
  <si>
    <t xml:space="preserve">Sinkronisasi test↔dokumen</t>
  </si>
  <si>
    <t xml:space="preserve">Tambah variabel CONFIGURATION ke Settings (TASK_MAX_ITERATIONS dll.), perbarui test Celery imports</t>
  </si>
  <si>
    <t xml:space="preserve">WP-0.8, WP-0.9</t>
  </si>
  <si>
    <t xml:space="preserve">2 test gagal saat ini</t>
  </si>
  <si>
    <t xml:space="preserve">WP-INT-02</t>
  </si>
  <si>
    <t xml:space="preserve">M08, M17</t>
  </si>
  <si>
    <t xml:space="preserve">ADR-021 &amp; ADR-025</t>
  </si>
  <si>
    <t xml:space="preserve">Transisi state tambahan + test matriks; enum cost_status partial &amp; agent_runs approval_required (migrasi 0002)</t>
  </si>
  <si>
    <t xml:space="preserve">FR-048–058, FR-131–134</t>
  </si>
  <si>
    <t xml:space="preserve">AC-14, AC-16</t>
  </si>
  <si>
    <t xml:space="preserve">WP-INT-03</t>
  </si>
  <si>
    <t xml:space="preserve">M08, M09</t>
  </si>
  <si>
    <t xml:space="preserve">ADR-022 &amp; ADR-024 (ports, handler approval)</t>
  </si>
  <si>
    <t xml:space="preserve">WorkflowPorts/ToolPorts, hapus bypass importlib, kontrak import-linter, handler commit+retry, bootstrap handler di API &amp; worker</t>
  </si>
  <si>
    <t xml:space="preserve">FR-048–067</t>
  </si>
  <si>
    <t xml:space="preserve">AC-06, AC-13</t>
  </si>
  <si>
    <t xml:space="preserve">Handler approval kini terdaftar di proses API (commit 91e8e7d); suite backend 1316 lulus / 2 gagal lama</t>
  </si>
  <si>
    <t xml:space="preserve">Sisa: WorkflowPorts/ToolPorts, hapus importlib, handler retry</t>
  </si>
  <si>
    <t xml:space="preserve">WP-INT-04</t>
  </si>
  <si>
    <t xml:space="preserve">Kontrak API v1.1 (ADR-029)</t>
  </si>
  <si>
    <t xml:space="preserve">Field/endpoint §11 di backend + penyesuaian hook frontend; delete project membatalkan task aktif</t>
  </si>
  <si>
    <t xml:space="preserve">AG-08, AG-09 → AG-10, AG-11</t>
  </si>
  <si>
    <t xml:space="preserve">Lintas modul</t>
  </si>
  <si>
    <t xml:space="preserve">AC-04, AC-11, AC-16</t>
  </si>
  <si>
    <t xml:space="preserve">Backend dulu, lalu FE (2 sub-wave)</t>
  </si>
  <si>
    <t xml:space="preserve">WP-INT-05</t>
  </si>
  <si>
    <t xml:space="preserve">M19</t>
  </si>
  <si>
    <t xml:space="preserve">Redaksi ADR-030 🔒</t>
  </si>
  <si>
    <t xml:space="preserve">Pola key=value huruf kecil + test negatif; uji kebocoran secret end-to-end di log/event/artefak/respons</t>
  </si>
  <si>
    <t xml:space="preserve">FR-002, FR-025, FR-144</t>
  </si>
  <si>
    <t xml:space="preserve">AC-15</t>
  </si>
  <si>
    <t xml:space="preserve">WP-INT-06</t>
  </si>
  <si>
    <t xml:space="preserve">Stack penuh dengan scripted provider</t>
  </si>
  <si>
    <t xml:space="preserve">make up, worker/scheduler sehat, handler approval terdaftar, demo calc berjalan lewat UI</t>
  </si>
  <si>
    <t xml:space="preserve">WP-INT-01..05</t>
  </si>
  <si>
    <t xml:space="preserve">Stack dev tanpa compose (API, worker, sandbox Docker nyata) menjalankan calc, calc-debug, calc-gap sampai completed</t>
  </si>
  <si>
    <t xml:space="preserve">Compose penuh belum dijalankan ulang</t>
  </si>
  <si>
    <t xml:space="preserve">WP-INT-07</t>
  </si>
  <si>
    <t xml:space="preserve">M17</t>
  </si>
  <si>
    <t xml:space="preserve">Readiness gate Claude Platform API</t>
  </si>
  <si>
    <t xml:space="preserve">API key &amp; model ID nyata dari katalog resmi, claude-smoke lulus (streaming, usage, tool-use, cancel, secret tak bocor), harga diverifikasi</t>
  </si>
  <si>
    <t xml:space="preserve">OPS + AG-07</t>
  </si>
  <si>
    <t xml:space="preserve">FR-128–135</t>
  </si>
  <si>
    <t xml:space="preserve">AC-15, AC-16</t>
  </si>
  <si>
    <t xml:space="preserve">Butuh secret dari Operator</t>
  </si>
  <si>
    <t xml:space="preserve">WP-INT-08</t>
  </si>
  <si>
    <t xml:space="preserve">M08, M10, M12, M17</t>
  </si>
  <si>
    <t xml:space="preserve">ADR-031..035</t>
  </si>
  <si>
    <t xml:space="preserve">Pause &amp; batas durasi, readiness gate mengikat, sandbox read-only untuk main + batas disk, matriks approval &amp; izin baru, failure_kind</t>
  </si>
  <si>
    <t xml:space="preserve">AG-08, AG-07, AG-03, AG-01</t>
  </si>
  <si>
    <t xml:space="preserve">FR-045, FR-057, FR-087, FR-132, FR-135</t>
  </si>
  <si>
    <t xml:space="preserve">AC-07, AC-13, AC-16</t>
  </si>
  <si>
    <t xml:space="preserve">WP-E2E-01</t>
  </si>
  <si>
    <t xml:space="preserve">Playwright happy path</t>
  </si>
  <si>
    <t xml:space="preserve">login → project → prompt → patch → test → diff → User Proxy → approve/reject</t>
  </si>
  <si>
    <t xml:space="preserve">WP-INT-06, WP-INT-08</t>
  </si>
  <si>
    <t xml:space="preserve">AC-01–AC-13</t>
  </si>
  <si>
    <t xml:space="preserve">WP-E2E-02</t>
  </si>
  <si>
    <t xml:space="preserve">M08, M14</t>
  </si>
  <si>
    <t xml:space="preserve">Playwright remediasi, cancel, recovery</t>
  </si>
  <si>
    <t xml:space="preserve">Skenario calc-gap (AC-18), cancel saat running (AC-14), restart worker (AC-17)</t>
  </si>
  <si>
    <t xml:space="preserve">FR-053–057, FR-100–109</t>
  </si>
  <si>
    <t xml:space="preserve">AC-14, AC-17, AC-18</t>
  </si>
  <si>
    <t xml:space="preserve">WP-E2E-03</t>
  </si>
  <si>
    <t xml:space="preserve">M19, Infra</t>
  </si>
  <si>
    <t xml:space="preserve">Clean-install smoke &amp; audit trace</t>
  </si>
  <si>
    <t xml:space="preserve">Job CI clean-install; trace prompt→plan→agent run→tool call→artifact→test→acceptance</t>
  </si>
  <si>
    <t xml:space="preserve">AG-00, PO (G3)</t>
  </si>
  <si>
    <t xml:space="preserve">FR-143–148</t>
  </si>
  <si>
    <t xml:space="preserve">AC-19, AC-20</t>
  </si>
  <si>
    <t xml:space="preserve">WP-SEC-01</t>
  </si>
  <si>
    <t xml:space="preserve">M09, M10, M01</t>
  </si>
  <si>
    <t xml:space="preserve">Review keamanan independen 🔒</t>
  </si>
  <si>
    <t xml:space="preserve">Fixture: path traversal/symlink, prompt injection repo, approval replay, limit container, cross-project, secret leak; sign-off tertulis</t>
  </si>
  <si>
    <t xml:space="preserve">WP-INT-03, WP-INT-05</t>
  </si>
  <si>
    <t xml:space="preserve">FR-059–076</t>
  </si>
  <si>
    <t xml:space="preserve">AC-01, AC-06, AC-07, AC-13, AC-15</t>
  </si>
  <si>
    <t xml:space="preserve">WP-G2</t>
  </si>
  <si>
    <t xml:space="preserve">M02–M05</t>
  </si>
  <si>
    <t xml:space="preserve">Gate G2: exit Projects &amp; IDE</t>
  </si>
  <si>
    <t xml:space="preserve">User dapat membuka project dan view/edit file; uji otorisasi lulus di stack penuh</t>
  </si>
  <si>
    <t xml:space="preserve">WP-2.1, WP-2.2, WP-INT-06</t>
  </si>
  <si>
    <t xml:space="preserve">AC-01–AC-03</t>
  </si>
  <si>
    <t xml:space="preserve">WP-G5</t>
  </si>
  <si>
    <t xml:space="preserve">Gate G5: exit Review &amp; User Proxy</t>
  </si>
  <si>
    <t xml:space="preserve">E2E membuktikan requirement gagal → perbaikan → revalidasi</t>
  </si>
  <si>
    <t xml:space="preserve">AC-11, AC-12, AC-18</t>
  </si>
  <si>
    <t xml:space="preserve">WP-G3</t>
  </si>
  <si>
    <t xml:space="preserve">Gate G3: MVP Definition of Done (PRD §13.1)</t>
  </si>
  <si>
    <t xml:space="preserve">Happy path E2E, semua AC P0 lulus di CI &amp; staging, tanpa temuan kritis, dokumentasi operator lengkap</t>
  </si>
  <si>
    <t xml:space="preserve">WP-E2E-01..03, WP-SEC-01, WP-4.3, WP-7.1, WP-6.8, WP-G5</t>
  </si>
  <si>
    <t xml:space="preserve">AC-01–AC-20</t>
  </si>
  <si>
    <t xml:space="preserve">Aktivitas manusia; setelah staging</t>
  </si>
  <si>
    <t xml:space="preserve">WP-6.2</t>
  </si>
  <si>
    <t xml:space="preserve">E2E Browser QA agent (C19)</t>
  </si>
  <si>
    <t xml:space="preserve">Playwright di sandbox node, screenshot sebagai evidence User Proxy</t>
  </si>
  <si>
    <t xml:space="preserve">AG-07, AG-08</t>
  </si>
  <si>
    <t xml:space="preserve">FR-088–090</t>
  </si>
  <si>
    <t xml:space="preserve">AC-11</t>
  </si>
  <si>
    <t xml:space="preserve">WP-6.3</t>
  </si>
  <si>
    <t xml:space="preserve">M18, Infra</t>
  </si>
  <si>
    <t xml:space="preserve">Preview subdomain (ADR-008)</t>
  </si>
  <si>
    <t xml:space="preserve">Container preview terisolasi + routing Caddy preview-*.domain</t>
  </si>
  <si>
    <t xml:space="preserve">AG-06, AG-08</t>
  </si>
  <si>
    <t xml:space="preserve">FR-138</t>
  </si>
  <si>
    <t xml:space="preserve">WP-6.4</t>
  </si>
  <si>
    <t xml:space="preserve">M16, M19</t>
  </si>
  <si>
    <t xml:space="preserve">Knowledge FR-127 &amp; dashboard observability</t>
  </si>
  <si>
    <t xml:space="preserve">Cari riwayat percakapan/task; Prometheus/Grafana opsional</t>
  </si>
  <si>
    <t xml:space="preserve">AG-09, AG-06</t>
  </si>
  <si>
    <t xml:space="preserve">FR-127, FR-150</t>
  </si>
  <si>
    <t xml:space="preserve">AC-16</t>
  </si>
  <si>
    <t xml:space="preserve">WP-6.5</t>
  </si>
  <si>
    <t xml:space="preserve">Egress proxy untuk install dependency 🔒</t>
  </si>
  <si>
    <t xml:space="preserve">Profil deps_install via allowlist (ADR-007)</t>
  </si>
  <si>
    <t xml:space="preserve">AG-03, AG-06</t>
  </si>
  <si>
    <t xml:space="preserve">FR-073</t>
  </si>
  <si>
    <t xml:space="preserve">WP-6.6</t>
  </si>
  <si>
    <t xml:space="preserve">Review biaya &amp; usability pilot</t>
  </si>
  <si>
    <t xml:space="preserve">Ukur metrik §1.3 (task success, evidence, traceability, approval, biaya) pada task representatif</t>
  </si>
  <si>
    <t xml:space="preserve">WP-INT-07, WP-E2E-01</t>
  </si>
  <si>
    <t xml:space="preserve">Aktivitas manusia + pilot user</t>
  </si>
  <si>
    <t xml:space="preserve">WP-6.7</t>
  </si>
  <si>
    <t xml:space="preserve">Frontend</t>
  </si>
  <si>
    <t xml:space="preserve">Audit aksesibilitas &amp; UX (NFR-09, NFR-12)</t>
  </si>
  <si>
    <t xml:space="preserve">Keyboard nav, label, kontras, state empty/loading/error, lokalisasi; perbaikan temuan</t>
  </si>
  <si>
    <t xml:space="preserve">AG-10, AG-11</t>
  </si>
  <si>
    <t xml:space="preserve">FR-026–040</t>
  </si>
  <si>
    <t xml:space="preserve">WP-6.8</t>
  </si>
  <si>
    <t xml:space="preserve">Dokumentasi operator final (PRD §13.1)</t>
  </si>
  <si>
    <t xml:space="preserve">Install, update, backup, restore, konfigurasi provider, troubleshooting — diuji pada clean install</t>
  </si>
  <si>
    <t xml:space="preserve">RUNBOOK draft ada (WP-1.5)</t>
  </si>
  <si>
    <t xml:space="preserve">WP-6.9</t>
  </si>
  <si>
    <t xml:space="preserve">M30</t>
  </si>
  <si>
    <t xml:space="preserve">Monitoring biaya &amp; token realtime (stream, rollup, halaman, alert)</t>
  </si>
  <si>
    <t xml:space="preserve">Event usage.event per panggilan (Redis + SSE), rollup per menit, halaman /usage/live, breakdown, alert budget 50/80/100%, label aktual/estimasi/resmi/tidak tersedia; migrasi 0009 schema-first (K21 OI-38)</t>
  </si>
  <si>
    <t xml:space="preserve">AG-07, AG-11</t>
  </si>
  <si>
    <t xml:space="preserve">FR-283–287, FR-290–291</t>
  </si>
  <si>
    <t xml:space="preserve">AX-19</t>
  </si>
  <si>
    <t xml:space="preserve">Prototipe UI di WP-DEMO-04; ADR-067 diputuskan di sini</t>
  </si>
  <si>
    <t xml:space="preserve">WP-6.10</t>
  </si>
  <si>
    <t xml:space="preserve">Rekonsiliasi Usage &amp; Cost Admin API (opsional) 🔒</t>
  </si>
  <si>
    <t xml:space="preserve">Container worker-integrations antrean integrations (K21 OI-40), polling ≥ 60 dtk, filter api_key_ids/workspace_ids (OI-51), selisih per model per menit/hari; kunci admin tidak pernah keluar dari worker-integrations</t>
  </si>
  <si>
    <t xml:space="preserve">AG-07, AG-18</t>
  </si>
  <si>
    <t xml:space="preserve">AG-13 🔒</t>
  </si>
  <si>
    <t xml:space="preserve">FR-288–289, FR-292</t>
  </si>
  <si>
    <t xml:space="preserve">AX-20</t>
  </si>
  <si>
    <t xml:space="preserve">Butuh akun organisasi + Admin API key; akun individual → hanya estimasi</t>
  </si>
  <si>
    <t xml:space="preserve">WP-G6</t>
  </si>
  <si>
    <t xml:space="preserve">Gate G6: exit Product completeness</t>
  </si>
  <si>
    <t xml:space="preserve">Semua P0 + P1 yang disepakati lulus; review biaya &amp; usability pilot; monitoring biaya &amp; token (AX-19, AX-20 bila kredensial ada)</t>
  </si>
  <si>
    <t xml:space="preserve">WP-6.2..6.10</t>
  </si>
  <si>
    <t xml:space="preserve">AX-19, AX-20</t>
  </si>
  <si>
    <t xml:space="preserve">WP-7.1</t>
  </si>
  <si>
    <t xml:space="preserve">P7 Staging delivery</t>
  </si>
  <si>
    <t xml:space="preserve">Staging VPS KodeKantor</t>
  </si>
  <si>
    <t xml:space="preserve">Ubuntu LTS, TLS, firewall, gVisor, backup &amp; restore drill, smoke, rollback rehearsal</t>
  </si>
  <si>
    <t xml:space="preserve">AG-14 + OPS</t>
  </si>
  <si>
    <t xml:space="preserve">PO (G7)</t>
  </si>
  <si>
    <t xml:space="preserve">WP-E2E-03, WP-4.3</t>
  </si>
  <si>
    <t xml:space="preserve">FR-136–143, FR-149</t>
  </si>
  <si>
    <t xml:space="preserve">WP-7.2</t>
  </si>
  <si>
    <t xml:space="preserve">M18</t>
  </si>
  <si>
    <t xml:space="preserve">Fitur deployment staging (M18)</t>
  </si>
  <si>
    <t xml:space="preserve">Preflight, staging, smoke, rollback; production tetap gated</t>
  </si>
  <si>
    <t xml:space="preserve">AG-08, AG-14</t>
  </si>
  <si>
    <t xml:space="preserve">FR-136–143</t>
  </si>
  <si>
    <t xml:space="preserve">AC-13, AC-20</t>
  </si>
  <si>
    <t xml:space="preserve">P2</t>
  </si>
  <si>
    <t xml:space="preserve">preflight + staging build/smoke di snapshot</t>
  </si>
  <si>
    <t xml:space="preserve">WP-DEMO-01</t>
  </si>
  <si>
    <t xml:space="preserve">Demo</t>
  </si>
  <si>
    <t xml:space="preserve">Semua (IDE)</t>
  </si>
  <si>
    <t xml:space="preserve">Live demo replay dari eksekusi nyata</t>
  </si>
  <si>
    <t xml:space="preserve">Rekam 3 skenario (calc, calc-debug, calc-gap) di stack nyata, lalu halaman replay interaktif bergaya KodeKantor</t>
  </si>
  <si>
    <t xml:space="preserve">AC-04–AC-13, AC-18</t>
  </si>
  <si>
    <t xml:space="preserve">Artifact KodeKantor Replay; uji Playwright 596/596 lulus (desktop/ponsel, terang/gelap)</t>
  </si>
  <si>
    <t xml:space="preserve">WP-0.12</t>
  </si>
  <si>
    <t xml:space="preserve">Perluasan</t>
  </si>
  <si>
    <t xml:space="preserve">Rancangan perluasan platform</t>
  </si>
  <si>
    <t xml:space="preserve">PLATFORM_EXPANSION.md + KONTRAK v2 (§9b), ADR-036..056, konfigurasi, ancaman T11–T18, kriteria AX-01..AX-11</t>
  </si>
  <si>
    <t xml:space="preserve">AG-13; PO</t>
  </si>
  <si>
    <t xml:space="preserve">– (di luar PRD v1.0)</t>
  </si>
  <si>
    <t xml:space="preserve">AX-01–AX-11</t>
  </si>
  <si>
    <t xml:space="preserve">docs/PLATFORM_EXPANSION.md</t>
  </si>
  <si>
    <t xml:space="preserve">ADR Proposed menunggu PO</t>
  </si>
  <si>
    <t xml:space="preserve">WP-DEMO-02</t>
  </si>
  <si>
    <t xml:space="preserve">Prototipe modul perluasan di live demo</t>
  </si>
  <si>
    <t xml:space="preserve">Portal AI, koneksi GitHub App, Portfolio — klik-able, berlabel prototipe &amp; data contoh</t>
  </si>
  <si>
    <t xml:space="preserve">WP-0.12, WP-DEMO-01</t>
  </si>
  <si>
    <t xml:space="preserve">Artifact KodeKantor Replay versi 2; uji Playwright 896/896 lulus</t>
  </si>
  <si>
    <t xml:space="preserve">Token sesi lanjutan tidak dilaporkan</t>
  </si>
  <si>
    <t xml:space="preserve">WP-0.13</t>
  </si>
  <si>
    <t xml:space="preserve">Paket dokumen v2: agent, SRS, desain implementasi, PRD v2.0</t>
  </si>
  <si>
    <t xml:space="preserve">registry.v2.yaml (53 entri) + validator v1/v2, SYSTEM_SPEC.md, FR-160..220, IMPLEMENTATION_DESIGN_V2.md, API/DATA_MODEL v2, PRD v2.0 (Word/PDF) dengan tech stack &amp; mockup</t>
  </si>
  <si>
    <t xml:space="preserve">FR-160–220</t>
  </si>
  <si>
    <t xml:space="preserve">docs/SYSTEM_SPEC.md, docs/IMPLEMENTATION_DESIGN_V2.md, docs/PRD_v2.md, agents/registry.v2.yaml</t>
  </si>
  <si>
    <t xml:space="preserve">Rancangan; menunggu persetujuan PO</t>
  </si>
  <si>
    <t xml:space="preserve">WP-0.14</t>
  </si>
  <si>
    <t xml:space="preserve">Perluasan v2.1</t>
  </si>
  <si>
    <t xml:space="preserve">Paket dokumen v2.1: SDLC end-to-end, Developer Workspace v2, tier S/M/L</t>
  </si>
  <si>
    <t xml:space="preserve">SDLC_SCALE_DESIGN.md (KONTRAK v2.1), FR-221..258, UC-21..24, NFR-23..27, AX-12..18, ADR-057..062, desain §13, API §13, DATA_MODEL V2.9–V2.10, PRD v2.1</t>
  </si>
  <si>
    <t xml:space="preserve">FR-221–258</t>
  </si>
  <si>
    <t xml:space="preserve">AX-12–AX-18</t>
  </si>
  <si>
    <t xml:space="preserve">docs/SDLC_SCALE_DESIGN.md, docs/PRD_v2.1.md</t>
  </si>
  <si>
    <t xml:space="preserve">WP-DEMO-03</t>
  </si>
  <si>
    <t xml:space="preserve">Editor kode interaktif, test nyata via Pyodide, papan SDLC, skala S/M/L di live demo</t>
  </si>
  <si>
    <t xml:space="preserve">Edit file project hasil rekaman (diff, simpan, konflik 3-way), jalankan test hasil editan di browser (Pyodide) dengan fallback rekaman, papan SDLC 8 fase dari bukti nyata, halaman tier berlabel rancangan</t>
  </si>
  <si>
    <t xml:space="preserve">WP-DEMO-02, WP-0.14</t>
  </si>
  <si>
    <t xml:space="preserve">FR-235–240 (prototipe)</t>
  </si>
  <si>
    <t xml:space="preserve">Artifact KodeKantor Replay versi 3; uji Playwright 1356/1356 lulus; Pyodide: 11/11 test cocok rekaman run b8a1fe83</t>
  </si>
  <si>
    <t xml:space="preserve">Pyodide = WebAssembly di browser, bukan sandbox KodeKantor</t>
  </si>
  <si>
    <t xml:space="preserve">WP-0.15</t>
  </si>
  <si>
    <t xml:space="preserve">Perluasan v2.2</t>
  </si>
  <si>
    <t xml:space="preserve">Paket dokumen v2.2: polyglot language packs, lingkungan integrasi, monitoring biaya &amp; token</t>
  </si>
  <si>
    <t xml:space="preserve">POLYGLOT_INTEGRATION_DESIGN.md (KONTRAK v2.2 K14–K21), FR-259..292, UC-25..27, NFR-28..31, AX-19..24, ADR-063..068, T24–T28, desain §14, API §14, DATA_MODEL V2.11–V2.12, PRD v2.2</t>
  </si>
  <si>
    <t xml:space="preserve">FR-259–292</t>
  </si>
  <si>
    <t xml:space="preserve">AX-19–AX-24</t>
  </si>
  <si>
    <t xml:space="preserve">docs/POLYGLOT_INTEGRATION_DESIGN.md, docs/PRD_v2.2.md</t>
  </si>
  <si>
    <t xml:space="preserve">WP-DEMO-04</t>
  </si>
  <si>
    <t xml:space="preserve">Halaman monitoring biaya &amp; token + language packs &amp; integrasi di live demo</t>
  </si>
  <si>
    <t xml:space="preserve">Replay 61 event usage dari rekaman nyata (scripted provider, biaya tidak tersedia), simulasi tarif dari input user, alert budget, halaman language pack &amp; lingkungan integrasi berlabel rancangan</t>
  </si>
  <si>
    <t xml:space="preserve">WP-DEMO-03, WP-0.15</t>
  </si>
  <si>
    <t xml:space="preserve">FR-283–287, FR-290 (prototipe)</t>
  </si>
  <si>
    <t xml:space="preserve">Artifact KodeKantor Replay versi 5; uji Playwright 1662/1662 lulus</t>
  </si>
  <si>
    <t xml:space="preserve">Biaya resmi &amp; rekonsiliasi tidak tersedia di demo (tanpa Admin API)</t>
  </si>
  <si>
    <t xml:space="preserve">WP-9.0</t>
  </si>
  <si>
    <t xml:space="preserve">P9 GitHub</t>
  </si>
  <si>
    <t xml:space="preserve">W7</t>
  </si>
  <si>
    <t xml:space="preserve">M24, M22</t>
  </si>
  <si>
    <t xml:space="preserve">Kunci kontrak v2 sebelum W7</t>
  </si>
  <si>
    <t xml:space="preserve">Loader registry schema 2 (registry.v2.yaml → registry.yaml), RunScope, ApprovalGrant, approvals scope v2, migrasi 0002–0003 schema-first di balik flag; ADR-050..056 Accepted</t>
  </si>
  <si>
    <t xml:space="preserve">AG-13 🔒; PO</t>
  </si>
  <si>
    <t xml:space="preserve">WP-G3, WP-0.13</t>
  </si>
  <si>
    <t xml:space="preserve">FR-213, FR-216</t>
  </si>
  <si>
    <t xml:space="preserve">AX-11</t>
  </si>
  <si>
    <t xml:space="preserve">Prasyarat semua WP P9–P12</t>
  </si>
  <si>
    <t xml:space="preserve">WP-9.1</t>
  </si>
  <si>
    <t xml:space="preserve">M22</t>
  </si>
  <si>
    <t xml:space="preserve">Registrasi GitHub App &amp; secret</t>
  </si>
  <si>
    <t xml:space="preserve">App dengan permission minimum (tanpa Workflows), private key sebagai secret file, webhook secret, URL callback</t>
  </si>
  <si>
    <t xml:space="preserve">OPS + AG-18</t>
  </si>
  <si>
    <t xml:space="preserve">WP-9.0, WP-0.9</t>
  </si>
  <si>
    <t xml:space="preserve">FR-185–186, FR-195</t>
  </si>
  <si>
    <t xml:space="preserve">AX-01</t>
  </si>
  <si>
    <t xml:space="preserve">Butuh akun GitHub PO</t>
  </si>
  <si>
    <t xml:space="preserve">WP-9.2</t>
  </si>
  <si>
    <t xml:space="preserve">Instalasi, callback, webhook HMAC</t>
  </si>
  <si>
    <t xml:space="preserve">Tabel github_*, state nonce, verifikasi X-Hub-Signature-256, dedupe delivery</t>
  </si>
  <si>
    <t xml:space="preserve">FR-185, FR-187, FR-194</t>
  </si>
  <si>
    <t xml:space="preserve">AX-03</t>
  </si>
  <si>
    <t xml:space="preserve">WP-9.3</t>
  </si>
  <si>
    <t xml:space="preserve">M22, M03</t>
  </si>
  <si>
    <t xml:space="preserve">Import &amp; pull repo privat</t>
  </si>
  <si>
    <t xml:space="preserve">Token per operasi (1 repo, contents:read), clone tanpa token di URL/config, deteksi stack &amp; index</t>
  </si>
  <si>
    <t xml:space="preserve">AG-18, AG-09</t>
  </si>
  <si>
    <t xml:space="preserve">FR-188–190</t>
  </si>
  <si>
    <t xml:space="preserve">WP-9.4</t>
  </si>
  <si>
    <t xml:space="preserve">M22, M15</t>
  </si>
  <si>
    <t xml:space="preserve">Push branch &amp; buka PR via R3</t>
  </si>
  <si>
    <t xml:space="preserve">Approval terikat repo+branch+head_commit, secret scan pre-push, blokir .github/workflows, tanpa force push</t>
  </si>
  <si>
    <t xml:space="preserve">AG-18, AG-08</t>
  </si>
  <si>
    <t xml:space="preserve">FR-191–193, FR-196</t>
  </si>
  <si>
    <t xml:space="preserve">AX-02</t>
  </si>
  <si>
    <t xml:space="preserve">WP-9.5</t>
  </si>
  <si>
    <t xml:space="preserve">UI integrasi GitHub</t>
  </si>
  <si>
    <t xml:space="preserve">Settings → Hubungkan GitHub, pilih repo, import, status PR di task</t>
  </si>
  <si>
    <t xml:space="preserve">FR-185, FR-187, FR-196</t>
  </si>
  <si>
    <t xml:space="preserve">AX-01, AX-02</t>
  </si>
  <si>
    <t xml:space="preserve">WP-G9</t>
  </si>
  <si>
    <t xml:space="preserve">Gate G9: GitHub end-to-end</t>
  </si>
  <si>
    <t xml:space="preserve">Repo privat: import → task → approval → PR terbuka; sign-off keamanan</t>
  </si>
  <si>
    <t xml:space="preserve">WP-9.4, WP-9.5</t>
  </si>
  <si>
    <t xml:space="preserve">AX-01–AX-03</t>
  </si>
  <si>
    <t xml:space="preserve">WP-10.1</t>
  </si>
  <si>
    <t xml:space="preserve">P10 Portal AI</t>
  </si>
  <si>
    <t xml:space="preserve">W8</t>
  </si>
  <si>
    <t xml:space="preserve">M24</t>
  </si>
  <si>
    <t xml:space="preserve">Capability registry &amp; provider gateway</t>
  </si>
  <si>
    <t xml:space="preserve">capabilities.yaml, providers.yaml, ImageProvider/DocumentEngine interface, usage per capability, kill switch; server tool lewat ToolGateway (ADR-051)</t>
  </si>
  <si>
    <t xml:space="preserve">WP-9.0, WP-G9</t>
  </si>
  <si>
    <t xml:space="preserve">FR-163, FR-165, FR-213–220</t>
  </si>
  <si>
    <t xml:space="preserve">AX-04–AX-07, AX-11</t>
  </si>
  <si>
    <t xml:space="preserve">WP-10.2</t>
  </si>
  <si>
    <t xml:space="preserve">M21</t>
  </si>
  <si>
    <t xml:space="preserve">Assistant backend: ruang, thread, streaming</t>
  </si>
  <si>
    <t xml:space="preserve">spaces/threads/messages, SSE, regenerate, label sensitivitas</t>
  </si>
  <si>
    <t xml:space="preserve">FR-160–163, FR-165</t>
  </si>
  <si>
    <t xml:space="preserve">WP-10.3</t>
  </si>
  <si>
    <t xml:space="preserve">Riset web bersitasi</t>
  </si>
  <si>
    <t xml:space="preserve">web_search/web_fetch, mode cepat/mendalam, sitasi tersimpan &amp; tampil, allow/block domain, anggaran pencarian</t>
  </si>
  <si>
    <t xml:space="preserve">FR-164, FR-166–170</t>
  </si>
  <si>
    <t xml:space="preserve">AX-04</t>
  </si>
  <si>
    <t xml:space="preserve">WP-10.4</t>
  </si>
  <si>
    <t xml:space="preserve">Engine dokumen ganda + asset store</t>
  </si>
  <si>
    <t xml:space="preserve">Agent Skills pptx/docx/xlsx/pdf + engine lokal sandbox, signed URL unduhan</t>
  </si>
  <si>
    <t xml:space="preserve">AG-19, AG-03</t>
  </si>
  <si>
    <t xml:space="preserve">FR-171–174</t>
  </si>
  <si>
    <t xml:space="preserve">AX-05, AX-06</t>
  </si>
  <si>
    <t xml:space="preserve">WP-10.5</t>
  </si>
  <si>
    <t xml:space="preserve">Frontend Portal AI</t>
  </si>
  <si>
    <t xml:space="preserve">Chat, panel sitasi, pembuat dokumen, kuota capability</t>
  </si>
  <si>
    <t xml:space="preserve">WP-10.3, WP-10.4</t>
  </si>
  <si>
    <t xml:space="preserve">FR-161–162, FR-164, FR-167–168, FR-171</t>
  </si>
  <si>
    <t xml:space="preserve">AX-04, AX-05</t>
  </si>
  <si>
    <t xml:space="preserve">WP-10.6</t>
  </si>
  <si>
    <t xml:space="preserve">Evaluasi akurasi sitasi &amp; biaya</t>
  </si>
  <si>
    <t xml:space="preserve">Set pertanyaan uji berjawaban terverifikasi; ukur sitasi tepat, jawaban tanpa sumber, biaya per jawaban</t>
  </si>
  <si>
    <t xml:space="preserve">WP-10.7</t>
  </si>
  <si>
    <t xml:space="preserve">M30, M24</t>
  </si>
  <si>
    <t xml:space="preserve">Biaya capability (web search, gambar, code execution) ke monitoring</t>
  </si>
  <si>
    <t xml:space="preserve">usage_events.capability_usage_id + CHECK tepat satu (K21 OI-43), entri tarif server tool &amp; vendor di PRICING_PATH</t>
  </si>
  <si>
    <t xml:space="preserve">AG-07, AG-19</t>
  </si>
  <si>
    <t xml:space="preserve">WP-10.1, WP-6.9</t>
  </si>
  <si>
    <t xml:space="preserve">FR-283, FR-286</t>
  </si>
  <si>
    <t xml:space="preserve">WP-G10</t>
  </si>
  <si>
    <t xml:space="preserve">Gate G10: Portal AI inti</t>
  </si>
  <si>
    <t xml:space="preserve">Evaluasi lulus ambang yang disetujui PO; data-flow per capability terdokumentasi</t>
  </si>
  <si>
    <t xml:space="preserve">WP-10.6, WP-10.7</t>
  </si>
  <si>
    <t xml:space="preserve">FR-219</t>
  </si>
  <si>
    <t xml:space="preserve">AX-04–AX-06, AX-11</t>
  </si>
  <si>
    <t xml:space="preserve">WP-11.1</t>
  </si>
  <si>
    <t xml:space="preserve">P11 Gambar &amp; analisis</t>
  </si>
  <si>
    <t xml:space="preserve">W9</t>
  </si>
  <si>
    <t xml:space="preserve">ADR-040a: pilih vendor gambar</t>
  </si>
  <si>
    <t xml:space="preserve">Uji kualitas teks dalam gambar, edit, biaya, kebijakan data vendor</t>
  </si>
  <si>
    <t xml:space="preserve">PO + AG-00</t>
  </si>
  <si>
    <t xml:space="preserve">FR-181</t>
  </si>
  <si>
    <t xml:space="preserve">AX-07</t>
  </si>
  <si>
    <t xml:space="preserve">WP-11.2</t>
  </si>
  <si>
    <t xml:space="preserve">ImageProvider + moderasi + provenance + kuota 🔒</t>
  </si>
  <si>
    <t xml:space="preserve">Adapter vendor terpilih, contract test, moderasi prompt, galeri</t>
  </si>
  <si>
    <t xml:space="preserve">FR-181–183, FR-215</t>
  </si>
  <si>
    <t xml:space="preserve">WP-11.3</t>
  </si>
  <si>
    <t xml:space="preserve">Upload file &amp; tanya jawab dokumen (tanpa embedding, ADR-046)</t>
  </si>
  <si>
    <t xml:space="preserve">Ekstraksi di sandbox, chunk + ringkasan kontekstual Claude + FTS/pg_trgm, jawaban via blok search_result bersitasi; eval Recall@8 ≥ 0.85</t>
  </si>
  <si>
    <t xml:space="preserve">FR-175–177</t>
  </si>
  <si>
    <t xml:space="preserve">AX-10</t>
  </si>
  <si>
    <t xml:space="preserve">WP-11.4</t>
  </si>
  <si>
    <t xml:space="preserve">Analisis data</t>
  </si>
  <si>
    <t xml:space="preserve">CSV/XLSX → kode di sandbox/code execution → tabel/grafik + kode dapat diperiksa</t>
  </si>
  <si>
    <t xml:space="preserve">FR-179–180</t>
  </si>
  <si>
    <t xml:space="preserve">WP-11.5</t>
  </si>
  <si>
    <t xml:space="preserve">Frontend gambar, KB, analisis</t>
  </si>
  <si>
    <t xml:space="preserve">Galeri, upload, hasil analisis</t>
  </si>
  <si>
    <t xml:space="preserve">WP-11.2, WP-11.3, WP-11.4</t>
  </si>
  <si>
    <t xml:space="preserve">FR-180, FR-183</t>
  </si>
  <si>
    <t xml:space="preserve">WP-G11</t>
  </si>
  <si>
    <t xml:space="preserve">Gate G11</t>
  </si>
  <si>
    <t xml:space="preserve">Moderasi &amp; kuota teruji; biaya per gambar terukur</t>
  </si>
  <si>
    <t xml:space="preserve">AX-07, AX-10</t>
  </si>
  <si>
    <t xml:space="preserve">WP-12.1</t>
  </si>
  <si>
    <t xml:space="preserve">P12 Portfolio</t>
  </si>
  <si>
    <t xml:space="preserve">M23</t>
  </si>
  <si>
    <t xml:space="preserve">Model konten &amp; API portfolio</t>
  </si>
  <si>
    <t xml:space="preserve">profil, item, versi, publikasi; visibility draft/public</t>
  </si>
  <si>
    <t xml:space="preserve">FR-197–199, FR-202–205, FR-212</t>
  </si>
  <si>
    <t xml:space="preserve">AX-09</t>
  </si>
  <si>
    <t xml:space="preserve">WP-12.2</t>
  </si>
  <si>
    <t xml:space="preserve">Impor proyek dari GitHub &amp; KodeKantor</t>
  </si>
  <si>
    <t xml:space="preserve">README, bahasa, topik; repo privat hanya metadata terpilih</t>
  </si>
  <si>
    <t xml:space="preserve">AG-21, AG-18</t>
  </si>
  <si>
    <t xml:space="preserve">WP-12.1, WP-G9</t>
  </si>
  <si>
    <t xml:space="preserve">FR-200–201</t>
  </si>
  <si>
    <t xml:space="preserve">AX-08</t>
  </si>
  <si>
    <t xml:space="preserve">WP-12.3</t>
  </si>
  <si>
    <t xml:space="preserve">CV DOCX/PDF &amp; asisten lamaran</t>
  </si>
  <si>
    <t xml:space="preserve">Template ATS sans-serif; web_fetch lowongan → saran (draft); tanpa mengarang pencapaian</t>
  </si>
  <si>
    <t xml:space="preserve">AG-21, AG-19</t>
  </si>
  <si>
    <t xml:space="preserve">WP-12.1, WP-10.4</t>
  </si>
  <si>
    <t xml:space="preserve">FR-203–204, FR-206–207</t>
  </si>
  <si>
    <t xml:space="preserve">AX-05, AX-09</t>
  </si>
  <si>
    <t xml:space="preserve">WP-12.4</t>
  </si>
  <si>
    <t xml:space="preserve">Situs publik + publish R3 🔒</t>
  </si>
  <si>
    <t xml:space="preserve">Statis di portfolio.&lt;domain&gt; atau GitHub Pages; pratinjau, cek privasi, approval</t>
  </si>
  <si>
    <t xml:space="preserve">AG-21, AG-06</t>
  </si>
  <si>
    <t xml:space="preserve">FR-205, FR-208–210</t>
  </si>
  <si>
    <t xml:space="preserve">WP-12.5</t>
  </si>
  <si>
    <t xml:space="preserve">Frontend Portal Portfolio</t>
  </si>
  <si>
    <t xml:space="preserve">Editor profil/item, CV, pratinjau situs</t>
  </si>
  <si>
    <t xml:space="preserve">WP-12.2..12.4</t>
  </si>
  <si>
    <t xml:space="preserve">FR-197, FR-199</t>
  </si>
  <si>
    <t xml:space="preserve">AX-08, AX-09</t>
  </si>
  <si>
    <t xml:space="preserve">WP-G12</t>
  </si>
  <si>
    <t xml:space="preserve">Gate G12</t>
  </si>
  <si>
    <t xml:space="preserve">CV &amp; situs publik dari data nyata pengguna, disetujui PO</t>
  </si>
  <si>
    <t xml:space="preserve">WP-13.0</t>
  </si>
  <si>
    <t xml:space="preserve">P13 SDLC &amp; tier M</t>
  </si>
  <si>
    <t xml:space="preserve">W11</t>
  </si>
  <si>
    <t xml:space="preserve">M25–M27</t>
  </si>
  <si>
    <t xml:space="preserve">Kunci kontrak v2.1 (ADR-057..062 Accepted, migrasi 0007–0008 schema-first, registry phase P13/P14)</t>
  </si>
  <si>
    <t xml:space="preserve">Transisi take-over di states.py, validator registry menerima P13/P14, tabel tier L inert</t>
  </si>
  <si>
    <t xml:space="preserve">WP-G3, WP-0.14</t>
  </si>
  <si>
    <t xml:space="preserve">FR-221, FR-245</t>
  </si>
  <si>
    <t xml:space="preserve">WP-13.1</t>
  </si>
  <si>
    <t xml:space="preserve">M26</t>
  </si>
  <si>
    <t xml:space="preserve">Developer workspace v2: operasi file, take-over, konflik 3-way, Git manual</t>
  </si>
  <si>
    <t xml:space="preserve">create/rename/delete + version check, take-over interrupted/user_takeover, bukti stale, diff 3-way, stage/commit/branch user</t>
  </si>
  <si>
    <t xml:space="preserve">AG-09, AG-10, AG-02</t>
  </si>
  <si>
    <t xml:space="preserve">FR-235–237, FR-244</t>
  </si>
  <si>
    <t xml:space="preserve">AX-12</t>
  </si>
  <si>
    <t xml:space="preserve">WP-13.2</t>
  </si>
  <si>
    <t xml:space="preserve">Run &amp; test dari IDE + preview, format/lint on save</t>
  </si>
  <si>
    <t xml:space="preserve">Profil run.*, test terpilih (initiated_by=user), preview ADR-008, formatter sebagai patch</t>
  </si>
  <si>
    <t xml:space="preserve">AG-03, AG-10</t>
  </si>
  <si>
    <t xml:space="preserve">FR-238–240</t>
  </si>
  <si>
    <t xml:space="preserve">AX-13</t>
  </si>
  <si>
    <t xml:space="preserve">WP-13.3</t>
  </si>
  <si>
    <t xml:space="preserve">Terminal interaktif sandbox untuk user 🔒</t>
  </si>
  <si>
    <t xml:space="preserve">PTY di sandbox, WebSocket tiket sekali pakai, network off, limit &amp; idle timeout, audit teredaksi, default nonaktif (ADR-059)</t>
  </si>
  <si>
    <t xml:space="preserve">FR-241</t>
  </si>
  <si>
    <t xml:space="preserve">Ancaman T19</t>
  </si>
  <si>
    <t xml:space="preserve">WP-13.4</t>
  </si>
  <si>
    <t xml:space="preserve">M25</t>
  </si>
  <si>
    <t xml:space="preserve">Work item Program/Epic/Story, dekomposisi A03, papan SDLC</t>
  </si>
  <si>
    <t xml:space="preserve">work_items, ProgramPlan disetujui user, DAG &amp; penjadwalan paralel, roll-up status deterministik</t>
  </si>
  <si>
    <t xml:space="preserve">AG-08, AG-10</t>
  </si>
  <si>
    <t xml:space="preserve">FR-221–224, FR-226–227</t>
  </si>
  <si>
    <t xml:space="preserve">AX-14, AX-15</t>
  </si>
  <si>
    <t xml:space="preserve">WP-13.5</t>
  </si>
  <si>
    <t xml:space="preserve">Merge queue lokal (rebase + profil test wajib)</t>
  </si>
  <si>
    <t xml:space="preserve">Serialisasi apply per repo; gagal → needs_changes; branch target terlindungi</t>
  </si>
  <si>
    <t xml:space="preserve">FR-225</t>
  </si>
  <si>
    <t xml:space="preserve">AX-14</t>
  </si>
  <si>
    <t xml:space="preserve">WP-13.6</t>
  </si>
  <si>
    <t xml:space="preserve">Traceability export + dashboard program</t>
  </si>
  <si>
    <t xml:space="preserve">requirement → story → task → commit → test → acceptance → release; CSV/JSON/PDF</t>
  </si>
  <si>
    <t xml:space="preserve">AG-09, AG-11</t>
  </si>
  <si>
    <t xml:space="preserve">FR-231–232</t>
  </si>
  <si>
    <t xml:space="preserve">AX-15</t>
  </si>
  <si>
    <t xml:space="preserve">WP-13.7</t>
  </si>
  <si>
    <t xml:space="preserve">M27</t>
  </si>
  <si>
    <t xml:space="preserve">Pool executor tier M + failover + workspace multi-node 🔒</t>
  </si>
  <si>
    <t xml:space="preserve">Registrasi node &amp; token rotasi, lease, failover dari checkpoint, git bundle/volume bersama, budget program, kapasitas transparan</t>
  </si>
  <si>
    <t xml:space="preserve">AG-06, AG-03, AG-01</t>
  </si>
  <si>
    <t xml:space="preserve">FR-245–248, FR-255, FR-258</t>
  </si>
  <si>
    <t xml:space="preserve">AX-16</t>
  </si>
  <si>
    <t xml:space="preserve">Ancaman T21</t>
  </si>
  <si>
    <t xml:space="preserve">WP-13.8</t>
  </si>
  <si>
    <t xml:space="preserve">SSO OIDC 🔒</t>
  </si>
  <si>
    <t xml:space="preserve">Pemetaan grup → role, login lokal dapat dimatikan, pertukaran code di worker-integrations</t>
  </si>
  <si>
    <t xml:space="preserve">AG-01, AG-11</t>
  </si>
  <si>
    <t xml:space="preserve">FR-250</t>
  </si>
  <si>
    <t xml:space="preserve">AX-17</t>
  </si>
  <si>
    <t xml:space="preserve">Bagian OIDC AX-17 diverifikasi di G13</t>
  </si>
  <si>
    <t xml:space="preserve">WP-13.9</t>
  </si>
  <si>
    <t xml:space="preserve">Repo besar &amp; multi-repo</t>
  </si>
  <si>
    <t xml:space="preserve">Sparse checkout per task, index simbol inkremental di sandbox, batas konteks A04, story lintas repo</t>
  </si>
  <si>
    <t xml:space="preserve">AG-02, AG-07</t>
  </si>
  <si>
    <t xml:space="preserve">FR-253–254</t>
  </si>
  <si>
    <t xml:space="preserve">AX-14, AX-18</t>
  </si>
  <si>
    <t xml:space="preserve">WP-13.10</t>
  </si>
  <si>
    <t xml:space="preserve">Release train + environment registry + CODEOWNERS + insiden → story</t>
  </si>
  <si>
    <t xml:space="preserve">Changelog dari task/commit, promosi dev→staging, production tetap R3</t>
  </si>
  <si>
    <t xml:space="preserve">FR-228–229, FR-233–234</t>
  </si>
  <si>
    <t xml:space="preserve">WP-13.11</t>
  </si>
  <si>
    <t xml:space="preserve">Aktivasi agent SDLC tier M (A05, A06, B12, C18, C19, E28, F30, F32) per G8</t>
  </si>
  <si>
    <t xml:space="preserve">Contract test + eval set per agent; tetap 53 entri registry</t>
  </si>
  <si>
    <t xml:space="preserve">FR-227</t>
  </si>
  <si>
    <t xml:space="preserve">WP-13.12</t>
  </si>
  <si>
    <t xml:space="preserve">Status CI GitHub sebagai syarat merge queue</t>
  </si>
  <si>
    <t xml:space="preserve">ci.get_checks via GitHub App; sah hanya untuk head_commit ter-push yang tidak berubah oleh rebase; CI pasca-merge gagal → story perbaikan</t>
  </si>
  <si>
    <t xml:space="preserve">WP-13.5, WP-G9</t>
  </si>
  <si>
    <t xml:space="preserve">FR-230</t>
  </si>
  <si>
    <t xml:space="preserve">WP-G13</t>
  </si>
  <si>
    <t xml:space="preserve">Gate G13: SDLC end-to-end tier M</t>
  </si>
  <si>
    <t xml:space="preserve">Program kecil (≥1 epic, ≥3 story) end-to-end di tier M dengan merge queue &amp; traceability; edit/take-over/run/test/terminal dari IDE; failover node; login OIDC</t>
  </si>
  <si>
    <t xml:space="preserve">PO + AG-13</t>
  </si>
  <si>
    <t xml:space="preserve">WP-13.1..13.12</t>
  </si>
  <si>
    <t xml:space="preserve">AX-12–AX-16, AX-17 (OIDC)</t>
  </si>
  <si>
    <t xml:space="preserve">WP-14.0</t>
  </si>
  <si>
    <t xml:space="preserve">P14 Enterprise tier L</t>
  </si>
  <si>
    <t xml:space="preserve">W12</t>
  </si>
  <si>
    <t xml:space="preserve">ADR orkestrator tier L (VM pool vs Kubernetes) dari data beban tier M</t>
  </si>
  <si>
    <t xml:space="preserve">Termasuk keputusan akses DB node (OI-32)</t>
  </si>
  <si>
    <t xml:space="preserve">AG-00 + PO</t>
  </si>
  <si>
    <t xml:space="preserve">FR-246</t>
  </si>
  <si>
    <t xml:space="preserve">Keputusan PO</t>
  </si>
  <si>
    <t xml:space="preserve">WP-14.1</t>
  </si>
  <si>
    <t xml:space="preserve">Organisasi/tenant 🔒</t>
  </si>
  <si>
    <t xml:space="preserve">Scope organisasi di query, path, cache, budget, audit; 404 lintas org</t>
  </si>
  <si>
    <t xml:space="preserve">AG-01, AG-09</t>
  </si>
  <si>
    <t xml:space="preserve">FR-252</t>
  </si>
  <si>
    <t xml:space="preserve">Ancaman T20</t>
  </si>
  <si>
    <t xml:space="preserve">WP-14.2</t>
  </si>
  <si>
    <t xml:space="preserve">SAML + SCIM 🔒</t>
  </si>
  <si>
    <t xml:space="preserve">Deprovision mencabut sesi ≤ 5 menit [Menebak]; JIT nonaktif default</t>
  </si>
  <si>
    <t xml:space="preserve">FR-250–251</t>
  </si>
  <si>
    <t xml:space="preserve">Ancaman T22</t>
  </si>
  <si>
    <t xml:space="preserve">WP-14.3</t>
  </si>
  <si>
    <t xml:space="preserve">Driver sandbox microVM 🔒</t>
  </si>
  <si>
    <t xml:space="preserve">Firecracker/Kata, profil sandbox sama</t>
  </si>
  <si>
    <t xml:space="preserve">FR-249</t>
  </si>
  <si>
    <t xml:space="preserve">WP-14.4</t>
  </si>
  <si>
    <t xml:space="preserve">HA &amp; DR</t>
  </si>
  <si>
    <t xml:space="preserve">PostgreSQL replika/failover, Redis HA, backup terenkripsi, DR drill RPO/RTO</t>
  </si>
  <si>
    <t xml:space="preserve">AG-06 + OPS</t>
  </si>
  <si>
    <t xml:space="preserve">FR-256</t>
  </si>
  <si>
    <t xml:space="preserve">WP-14.5</t>
  </si>
  <si>
    <t xml:space="preserve">SIEM export + governance biaya organisasi</t>
  </si>
  <si>
    <t xml:space="preserve">Rantai hash audit, OTLP/syslog, anggaran per org</t>
  </si>
  <si>
    <t xml:space="preserve">FR-255, FR-257</t>
  </si>
  <si>
    <t xml:space="preserve">WP-14.6</t>
  </si>
  <si>
    <t xml:space="preserve">Language server + debugger di sandbox</t>
  </si>
  <si>
    <t xml:space="preserve">LSP &amp; DAP per stack; kanal diputuskan (OI-25); backlog LSP/DAP pack L1 v2.2 (OI-50)</t>
  </si>
  <si>
    <t xml:space="preserve">FR-242–243</t>
  </si>
  <si>
    <t xml:space="preserve">WP-14.7</t>
  </si>
  <si>
    <t xml:space="preserve">Benchmark repo besar &amp; beban</t>
  </si>
  <si>
    <t xml:space="preserve">Repo ≥ 1 juta LOC [Menebak]; kapasitas tier L</t>
  </si>
  <si>
    <t xml:space="preserve">WP-13.9, WP-14.0</t>
  </si>
  <si>
    <t xml:space="preserve">FR-253</t>
  </si>
  <si>
    <t xml:space="preserve">AX-18</t>
  </si>
  <si>
    <t xml:space="preserve">WP-14.8</t>
  </si>
  <si>
    <t xml:space="preserve">Aktivasi agent tier L (B08, B15, D25, D26, F31, F33, F34, G36, H38–H40) per G8</t>
  </si>
  <si>
    <t xml:space="preserve">Contract test + eval set per agent; D24 → WP-15.10, B11 → WP-16.6 (v2.2)</t>
  </si>
  <si>
    <t xml:space="preserve">FR-234</t>
  </si>
  <si>
    <t xml:space="preserve">WP-G14</t>
  </si>
  <si>
    <t xml:space="preserve">Gate G14: Enterprise tier L</t>
  </si>
  <si>
    <t xml:space="preserve">SAML/SCIM, isolasi tenant, microVM, DR drill, SIEM, benchmark repo besar; sign-off keamanan</t>
  </si>
  <si>
    <t xml:space="preserve">WP-14.1..14.8</t>
  </si>
  <si>
    <t xml:space="preserve">AX-17, AX-18</t>
  </si>
  <si>
    <t xml:space="preserve">WP-15.0</t>
  </si>
  <si>
    <t xml:space="preserve">P15 Polyglot language packs</t>
  </si>
  <si>
    <t xml:space="preserve">W13</t>
  </si>
  <si>
    <t xml:space="preserve">M28</t>
  </si>
  <si>
    <t xml:space="preserve">Framework language pack: registry, pipeline image, proxy dependensi, deteksi polyglot (H41) 🔒</t>
  </si>
  <si>
    <t xml:space="preserve">ADR-063/064 Accepted, registry pack berversi, pipeline image (pin digest, SBOM, scan), dep-proxy per ekosistem, deteksi monorepo, validator registry menerima P15/P16 (OI-46), kontrak tool deps.audit (OI-47), produk proxy diputuskan (OI-49)</t>
  </si>
  <si>
    <t xml:space="preserve">WP-6.5, WP-13.0</t>
  </si>
  <si>
    <t xml:space="preserve">FR-259–260, FR-263–264, FR-267</t>
  </si>
  <si>
    <t xml:space="preserve">AX-21</t>
  </si>
  <si>
    <t xml:space="preserve">Ancaman T24, T27</t>
  </si>
  <si>
    <t xml:space="preserve">WP-15.1</t>
  </si>
  <si>
    <t xml:space="preserve">Pack JVM (Java/Kotlin, Spring Boot)</t>
  </si>
  <si>
    <t xml:space="preserve">L1: template, deps via proxy, build, test (JUnit/setara), lint, format, run, package</t>
  </si>
  <si>
    <t xml:space="preserve">FR-261–262</t>
  </si>
  <si>
    <t xml:space="preserve">WP-15.2</t>
  </si>
  <si>
    <t xml:space="preserve">Pack .NET (C#, ASP.NET Core)</t>
  </si>
  <si>
    <t xml:space="preserve">WP-15.3</t>
  </si>
  <si>
    <t xml:space="preserve">Pack Go</t>
  </si>
  <si>
    <t xml:space="preserve">WP-15.4</t>
  </si>
  <si>
    <t xml:space="preserve">Pack PHP/Laravel</t>
  </si>
  <si>
    <t xml:space="preserve">WP-15.5</t>
  </si>
  <si>
    <t xml:space="preserve">Pack Ruby (L2)</t>
  </si>
  <si>
    <t xml:space="preserve">L2: deps via proxy, build, test, lint</t>
  </si>
  <si>
    <t xml:space="preserve">FR-262</t>
  </si>
  <si>
    <t xml:space="preserve">WP-15.6</t>
  </si>
  <si>
    <t xml:space="preserve">Pack C++ (L2)</t>
  </si>
  <si>
    <t xml:space="preserve">L2: CMake + vcpkg/Conan via proxy, build, test (CTest/GoogleTest), lint; kuota CPU/RAM khusus (T27)</t>
  </si>
  <si>
    <t xml:space="preserve">WP-15.7</t>
  </si>
  <si>
    <t xml:space="preserve">Perluasan pack Node/JS/TS/React + Python</t>
  </si>
  <si>
    <t xml:space="preserve">Profil seragam pack, template React/Node/FastAPI, laporan test seragam</t>
  </si>
  <si>
    <t xml:space="preserve">WP-15.8</t>
  </si>
  <si>
    <t xml:space="preserve">Pack mobile: Flutter (web + Android) &amp; React Native (Android), penanda target non-Linux</t>
  </si>
  <si>
    <t xml:space="preserve">Build Android &amp; web di sandbox; iOS/macOS/Windows/emulator → CI eksternal sebagai bukti (ADR-068)</t>
  </si>
  <si>
    <t xml:space="preserve">FR-268, FR-270</t>
  </si>
  <si>
    <t xml:space="preserve">Image besar (RP-01)</t>
  </si>
  <si>
    <t xml:space="preserve">WP-15.9</t>
  </si>
  <si>
    <t xml:space="preserve">Pack SQL (migrasi, lint, test terhadap DB ephemeral)</t>
  </si>
  <si>
    <t xml:space="preserve">Flyway/Liquibase, lint SQL, test terhadap PostgreSQL/MySQL/SQL Server dev ephemeral</t>
  </si>
  <si>
    <t xml:space="preserve">AG-03, AG-09</t>
  </si>
  <si>
    <t xml:space="preserve">FR-269</t>
  </si>
  <si>
    <t xml:space="preserve">WP-15.10</t>
  </si>
  <si>
    <t xml:space="preserve">Set evaluasi agent per bahasa + petunjuk pack + aktivasi D24</t>
  </si>
  <si>
    <t xml:space="preserve">Eval implementasi + bug seeded per pack L1 (ambang default ≥ 70%, OI-48), petunjuk B14/C17/C20, deps.audit, aktivasi D24 per G8</t>
  </si>
  <si>
    <t xml:space="preserve">AG-12, AG-15</t>
  </si>
  <si>
    <t xml:space="preserve">WP-15.1..15.9</t>
  </si>
  <si>
    <t xml:space="preserve">FR-265–266</t>
  </si>
  <si>
    <t xml:space="preserve">AX-22</t>
  </si>
  <si>
    <t xml:space="preserve">Token eval dihitung terpisah per bahasa</t>
  </si>
  <si>
    <t xml:space="preserve">WP-G15</t>
  </si>
  <si>
    <t xml:space="preserve">Gate G15: polyglot language packs gelombang 1</t>
  </si>
  <si>
    <t xml:space="preserve">Matriks test per pack di CI hijau; eval per pack L1 lulus ambang PO; sign-off keamanan proxy dependensi</t>
  </si>
  <si>
    <t xml:space="preserve">WP-15.0..15.10</t>
  </si>
  <si>
    <t xml:space="preserve">AX-21, AX-22</t>
  </si>
  <si>
    <t xml:space="preserve">WP-16.0</t>
  </si>
  <si>
    <t xml:space="preserve">P16 Integrasi multi-service</t>
  </si>
  <si>
    <t xml:space="preserve">W14</t>
  </si>
  <si>
    <t xml:space="preserve">M29</t>
  </si>
  <si>
    <t xml:space="preserve">ADR &amp; desain keamanan lingkungan integrasi 🔒</t>
  </si>
  <si>
    <t xml:space="preserve">ADR-065/066 Accepted; NETWORKS=1 hanya di socket proxy node executor (OI-41); syarat tier S (OI-39) &amp; pemutus pengecualian (OI-45) diputuskan PO</t>
  </si>
  <si>
    <t xml:space="preserve">WP-G15, WP-13.7</t>
  </si>
  <si>
    <t xml:space="preserve">FR-275</t>
  </si>
  <si>
    <t xml:space="preserve">Ancaman T25, T28</t>
  </si>
  <si>
    <t xml:space="preserve">WP-16.1</t>
  </si>
  <si>
    <t xml:space="preserve">Env runner: spec, validator policy, network per env, kuota, TTL 🔒</t>
  </si>
  <si>
    <t xml:space="preserve">Spec deklaratif tervalidasi (image terdaftar, tanpa privileged/host mount/host network/egress, secret scan), network internal per env, kuota, sweeper TTL</t>
  </si>
  <si>
    <t xml:space="preserve">FR-275, FR-277–278, FR-280</t>
  </si>
  <si>
    <t xml:space="preserve">AX-23</t>
  </si>
  <si>
    <t xml:space="preserve">WP-16.2</t>
  </si>
  <si>
    <t xml:space="preserve">Katalog service &amp; kontrak (validasi, diff breaking, mock)</t>
  </si>
  <si>
    <t xml:space="preserve">OpenAPI/AsyncAPI/Protobuf/GraphQL di repo, validasi, diff breaking, mock dari kontrak</t>
  </si>
  <si>
    <t xml:space="preserve">AG-09, AG-08</t>
  </si>
  <si>
    <t xml:space="preserve">FR-271–274, FR-276</t>
  </si>
  <si>
    <t xml:space="preserve">AX-24</t>
  </si>
  <si>
    <t xml:space="preserve">WP-16.3</t>
  </si>
  <si>
    <t xml:space="preserve">Contract test &amp; E2E lintas service + syarat merge queue</t>
  </si>
  <si>
    <t xml:space="preserve">suite = integration, log per service &amp; trace sebagai bukti; entri merge queue gagal CONTRACT_BREAKING</t>
  </si>
  <si>
    <t xml:space="preserve">AG-08, AG-12</t>
  </si>
  <si>
    <t xml:space="preserve">WP-16.1, WP-16.2</t>
  </si>
  <si>
    <t xml:space="preserve">FR-279, FR-282</t>
  </si>
  <si>
    <t xml:space="preserve">AX-23, AX-24</t>
  </si>
  <si>
    <t xml:space="preserve">WP-16.4</t>
  </si>
  <si>
    <t xml:space="preserve">Seed data, migrasi DB di env (B12, H38, H39)</t>
  </si>
  <si>
    <t xml:space="preserve">Data sintetis, secret palsu yang dibangkitkan, migrasi pack SQL di env</t>
  </si>
  <si>
    <t xml:space="preserve">WP-16.1, WP-15.9</t>
  </si>
  <si>
    <t xml:space="preserve">FR-269, FR-278</t>
  </si>
  <si>
    <t xml:space="preserve">H38/H39 baru aktif di P14; sebelum itu B12 + manusia (K21)</t>
  </si>
  <si>
    <t xml:space="preserve">WP-16.5</t>
  </si>
  <si>
    <t xml:space="preserve">UI peta service &amp; lingkungan</t>
  </si>
  <si>
    <t xml:space="preserve">Peta service, kesehatan, log, hasil test per env; prototipe di WP-DEMO-04</t>
  </si>
  <si>
    <t xml:space="preserve">FR-281</t>
  </si>
  <si>
    <t xml:space="preserve">WP-16.6</t>
  </si>
  <si>
    <t xml:space="preserve">Aktivasi B11 + contract test C18 lintas service per G8</t>
  </si>
  <si>
    <t xml:space="preserve">Contract test + eval set B11; C18 diperluas ke lintas service</t>
  </si>
  <si>
    <t xml:space="preserve">FR-272–274</t>
  </si>
  <si>
    <t xml:space="preserve">WP-G16</t>
  </si>
  <si>
    <t xml:space="preserve">Gate G16: sistem enterprise terintegrasi multi-bahasa</t>
  </si>
  <si>
    <t xml:space="preserve">≥ 3 service beda bahasa + DB + broker naik terisolasi, E2E lintas service lulus, breaking change memblokir merge queue; sign-off keamanan</t>
  </si>
  <si>
    <t xml:space="preserve">WP-16.0..16.6</t>
  </si>
  <si>
    <t xml:space="preserve">WP-8.1</t>
  </si>
  <si>
    <t xml:space="preserve">P8 Specialist rollout</t>
  </si>
  <si>
    <t xml:space="preserve">M12, M15</t>
  </si>
  <si>
    <t xml:space="preserve">Wave A specialist</t>
  </si>
  <si>
    <t xml:space="preserve">D24 Dependency &amp; supply chain, C18 Integration &amp; API testing (C19 sudah di WP-6.2)</t>
  </si>
  <si>
    <t xml:space="preserve">AG-00, PO (G8)</t>
  </si>
  <si>
    <t xml:space="preserve">WP-6.2, WP-G3</t>
  </si>
  <si>
    <t xml:space="preserve">FR-041–047</t>
  </si>
  <si>
    <t xml:space="preserve">Aktifkan hanya bila manfaat terukur (R-06)</t>
  </si>
  <si>
    <t xml:space="preserve">WP-8.2</t>
  </si>
  <si>
    <t xml:space="preserve">M08</t>
  </si>
  <si>
    <t xml:space="preserve">Wave B specialist</t>
  </si>
  <si>
    <t xml:space="preserve">A06 Change impact &amp; risk, A05 Software architect</t>
  </si>
  <si>
    <t xml:space="preserve">WP-8.3</t>
  </si>
  <si>
    <t xml:space="preserve">Wave C specialist (dukungan staging)</t>
  </si>
  <si>
    <t xml:space="preserve">F30 Build &amp; CI, F31 Infrastructure as Code, F32 Deployment &amp; Release</t>
  </si>
  <si>
    <t xml:space="preserve">WP-8.2, WP-7.1</t>
  </si>
  <si>
    <t xml:space="preserve">WP-8.4</t>
  </si>
  <si>
    <t xml:space="preserve">Beragam</t>
  </si>
  <si>
    <t xml:space="preserve">Wave D specialist (P2, atas permintaan pilot)</t>
  </si>
  <si>
    <t xml:space="preserve">B08, B11, B12, B15, D25, D26, E28, E29, F33, F34, G36, H38, H39, H40</t>
  </si>
  <si>
    <t xml:space="preserve">14 agent; diaktifkan satu per satu</t>
  </si>
  <si>
    <t xml:space="preserve">Kolom O–P (biru) = input estimasi yang dapat diubah. Kolom Q–R = aktual terukur. Status dapat dipilih dari daftar.</t>
  </si>
  <si>
    <t xml:space="preserve">Matriks wave × agent, dihitung otomatis dari sheet WBS (kolom Owner &amp; Wave). ■ = agent memiliki ≥1 WP pada wave tsb.</t>
  </si>
  <si>
    <t xml:space="preserve">Agent / peran</t>
  </si>
  <si>
    <t xml:space="preserve">Nama</t>
  </si>
  <si>
    <t xml:space="preserve">Jumlah WP</t>
  </si>
  <si>
    <t xml:space="preserve">Legenda wave</t>
  </si>
  <si>
    <t xml:space="preserve">Fokus</t>
  </si>
  <si>
    <t xml:space="preserve">Agent</t>
  </si>
  <si>
    <t xml:space="preserve">Rancangan &amp; kontrak</t>
  </si>
  <si>
    <t xml:space="preserve">Fondasi paralel (6 agent)</t>
  </si>
  <si>
    <t xml:space="preserve">AG-01..06</t>
  </si>
  <si>
    <t xml:space="preserve">Layanan domain + UI (5 agent)</t>
  </si>
  <si>
    <t xml:space="preserve">AG-07..11</t>
  </si>
  <si>
    <t xml:space="preserve">Integrasi &amp; ADR-021..035</t>
  </si>
  <si>
    <t xml:space="preserve">Belum (dihentikan PO)</t>
  </si>
  <si>
    <t xml:space="preserve">AG-01, 03, 07, 08, 09, 10, 11, 12, PO, OPS</t>
  </si>
  <si>
    <t xml:space="preserve">E2E + gate keamanan + MVP DoD</t>
  </si>
  <si>
    <t xml:space="preserve">AG-12, AG-13, PO</t>
  </si>
  <si>
    <t xml:space="preserve">Staging VPS + kelengkapan P1 + monitoring biaya &amp; token</t>
  </si>
  <si>
    <t xml:space="preserve">AG-03, 06, 07, 08, 09, 11, 13, 14, 18, OPS</t>
  </si>
  <si>
    <t xml:space="preserve">Rollout specialist bertahap</t>
  </si>
  <si>
    <t xml:space="preserve">AG-15, PO</t>
  </si>
  <si>
    <t xml:space="preserve">Kunci kontrak v2 (WP-9.0) + Integrasi GitHub App (P9)</t>
  </si>
  <si>
    <t xml:space="preserve">AG-00, AG-18, AG-09, AG-08, AG-10, AG-11, OPS, PO</t>
  </si>
  <si>
    <t xml:space="preserve">Portal AI inti (P10)</t>
  </si>
  <si>
    <t xml:space="preserve">AG-07, AG-19, AG-20, AG-03, AG-12, PO</t>
  </si>
  <si>
    <t xml:space="preserve">Gambar, KB, analisis (P11)</t>
  </si>
  <si>
    <t xml:space="preserve">AG-19, AG-20, AG-03, PO</t>
  </si>
  <si>
    <t xml:space="preserve">Portal Portfolio (P12)</t>
  </si>
  <si>
    <t xml:space="preserve">AG-21, AG-18, AG-19, AG-06, PO</t>
  </si>
  <si>
    <t xml:space="preserve">SDLC end-to-end &amp; tier M (P13)</t>
  </si>
  <si>
    <t xml:space="preserve">AG-00, AG-01, AG-02, AG-03, AG-06, AG-07, AG-08, AG-09, AG-10, AG-11, AG-14, AG-15, AG-18, OPS, PO</t>
  </si>
  <si>
    <t xml:space="preserve">Enterprise tier L (P14)</t>
  </si>
  <si>
    <t xml:space="preserve">AG-00, AG-01, AG-03, AG-06, AG-09, AG-10, AG-11, AG-12, AG-15, OPS, PO</t>
  </si>
  <si>
    <t xml:space="preserve">Polyglot language packs gelombang 1 (P15)</t>
  </si>
  <si>
    <t xml:space="preserve">AG-03, AG-06, AG-09, AG-10, AG-12, AG-13, AG-15, OPS, PO</t>
  </si>
  <si>
    <t xml:space="preserve">Lingkungan integrasi multi-service &amp; kontrak (P16)</t>
  </si>
  <si>
    <t xml:space="preserve">AG-00, AG-03, AG-08, AG-09, AG-10, AG-12, AG-13, AG-15, PO</t>
  </si>
  <si>
    <t xml:space="preserve">R = mengerjakan, A = akuntabel/menyetujui, C = dikonsultasi, I = diberi tahu. Satu A per aktivitas.</t>
  </si>
  <si>
    <t xml:space="preserve">Aktivitas</t>
  </si>
  <si>
    <t xml:space="preserve">Jumlah A</t>
  </si>
  <si>
    <t xml:space="preserve">Kontrak arsitektur &amp; ADR</t>
  </si>
  <si>
    <t xml:space="preserve">R</t>
  </si>
  <si>
    <t xml:space="preserve">C</t>
  </si>
  <si>
    <t xml:space="preserve">A</t>
  </si>
  <si>
    <t xml:space="preserve">Keputusan ADR Proposed &amp; review FR</t>
  </si>
  <si>
    <t xml:space="preserve">Backend core &amp; data model</t>
  </si>
  <si>
    <t xml:space="preserve">I</t>
  </si>
  <si>
    <t xml:space="preserve">Workspace, Git &amp; import aman</t>
  </si>
  <si>
    <t xml:space="preserve">Sandbox &amp; isolasi</t>
  </si>
  <si>
    <t xml:space="preserve">Agentic core (LLM, tools, runtime, approvals)</t>
  </si>
  <si>
    <t xml:space="preserve">Workflow, testing, review &amp; User Proxy</t>
  </si>
  <si>
    <t xml:space="preserve">Platform services (projects, IDE, knowledge, admin)</t>
  </si>
  <si>
    <t xml:space="preserve">Frontend foundation &amp; design system</t>
  </si>
  <si>
    <t xml:space="preserve">Frontend IDE &amp; workflow screens</t>
  </si>
  <si>
    <t xml:space="preserve">Frontend admin &amp; settings</t>
  </si>
  <si>
    <t xml:space="preserve">Katalog, FR &amp; registry agent</t>
  </si>
  <si>
    <t xml:space="preserve">Integrasi &amp; E2E</t>
  </si>
  <si>
    <t xml:space="preserve">Sign-off keamanan 🔒</t>
  </si>
  <si>
    <t xml:space="preserve">Readiness gate Claude API</t>
  </si>
  <si>
    <t xml:space="preserve">Staging VPS &amp; drill</t>
  </si>
  <si>
    <t xml:space="preserve">Aktivasi specialist planned</t>
  </si>
  <si>
    <t xml:space="preserve">Integrasi GitHub App (P9)</t>
  </si>
  <si>
    <t xml:space="preserve">Portal AI (P10–P11)</t>
  </si>
  <si>
    <t xml:space="preserve">Keputusan vendor gambar (ADR-040a)</t>
  </si>
  <si>
    <t xml:space="preserve">Portal Portfolio &amp; publikasi (P12)</t>
  </si>
  <si>
    <t xml:space="preserve">Live demo &amp; prototipe</t>
  </si>
  <si>
    <t xml:space="preserve">Monitoring biaya &amp; token realtime (WP-6.9, WP-10.7)</t>
  </si>
  <si>
    <t xml:space="preserve">Rekonsiliasi Admin API 🔒 (WP-6.10)</t>
  </si>
  <si>
    <t xml:space="preserve">Language packs &amp; proxy dependensi (P15)</t>
  </si>
  <si>
    <t xml:space="preserve">Evaluasi agent per bahasa &amp; aktivasi D24 (WP-15.10)</t>
  </si>
  <si>
    <t xml:space="preserve">Lingkungan integrasi &amp; kontrak (P16)</t>
  </si>
  <si>
    <t xml:space="preserve">Approval aksi R3 di produk (pilot single-owner)</t>
  </si>
  <si>
    <t xml:space="preserve">Cek: jumlah 'A' per baris</t>
  </si>
  <si>
    <t xml:space="preserve">AC-01..AC-20 (PRD §12.1) → FR (FR_CATALOG, turunan) → WP pembangun → WP verifikasi E2E. 'Test ada' ≠ AC terpenuhi (bukti E2E/staging belum).</t>
  </si>
  <si>
    <t xml:space="preserve">Kriteria</t>
  </si>
  <si>
    <t xml:space="preserve">FR terkait</t>
  </si>
  <si>
    <t xml:space="preserve">WP pembangun</t>
  </si>
  <si>
    <t xml:space="preserve">WP verifikasi</t>
  </si>
  <si>
    <t xml:space="preserve">AC-01</t>
  </si>
  <si>
    <t xml:space="preserve">Login/logout; user tanpa hak tidak dapat membuka project user lain</t>
  </si>
  <si>
    <t xml:space="preserve">FR-001–007, FR-017, FR-152</t>
  </si>
  <si>
    <t xml:space="preserve">WP-1.1, WP-2.1, WP-1.4</t>
  </si>
  <si>
    <t xml:space="preserve">WP-E2E-01, WP-SEC-01</t>
  </si>
  <si>
    <t xml:space="preserve">Test ada (snapshot)</t>
  </si>
  <si>
    <t xml:space="preserve">AC-02</t>
  </si>
  <si>
    <t xml:space="preserve">Project blank/template + import arsip aman</t>
  </si>
  <si>
    <t xml:space="preserve">FR-012–016</t>
  </si>
  <si>
    <t xml:space="preserve">WP-1.2, WP-2.1</t>
  </si>
  <si>
    <t xml:space="preserve">IDE baca, cari, tab, edit via workspace API</t>
  </si>
  <si>
    <t xml:space="preserve">FR-019–021, FR-026–030, FR-032</t>
  </si>
  <si>
    <t xml:space="preserve">WP-1.2, WP-2.1, WP-2.2</t>
  </si>
  <si>
    <t xml:space="preserve">AC-04</t>
  </si>
  <si>
    <t xml:space="preserve">Prompt → task dengan requirement, plan, status, ID</t>
  </si>
  <si>
    <t xml:space="preserve">FR-024, FR-033–034, FR-037–038, FR-048–051, FR-124</t>
  </si>
  <si>
    <t xml:space="preserve">Stream progres; reconnect ambil event hilang</t>
  </si>
  <si>
    <t xml:space="preserve">FR-035, FR-077, FR-083, FR-145</t>
  </si>
  <si>
    <t xml:space="preserve">WP-3.2, WP-1.4</t>
  </si>
  <si>
    <t xml:space="preserve">Agent hanya memanggil tool yang diizinkan</t>
  </si>
  <si>
    <t xml:space="preserve">FR-040–044, FR-059–062, FR-064, FR-067, FR-078–079, FR-117</t>
  </si>
  <si>
    <t xml:space="preserve">Kode jalan di sandbox dengan timeout &amp; resource limit</t>
  </si>
  <si>
    <t xml:space="preserve">FR-065, FR-068–075, FR-077–078, FR-080, FR-085</t>
  </si>
  <si>
    <t xml:space="preserve">WP-1.3, WP-4.2</t>
  </si>
  <si>
    <t xml:space="preserve">Terbukti (komponen), sign-off 🔒 belum</t>
  </si>
  <si>
    <t xml:space="preserve">Runner simpan exit code, log, status, durasi, artefak</t>
  </si>
  <si>
    <t xml:space="preserve">FR-070, FR-081–092, FR-094</t>
  </si>
  <si>
    <t xml:space="preserve">WP-4.1, WP-1.3</t>
  </si>
  <si>
    <t xml:space="preserve">AC-09</t>
  </si>
  <si>
    <t xml:space="preserve">Diff file/hunk; user dapat menolak patch</t>
  </si>
  <si>
    <t xml:space="preserve">FR-029, FR-031, FR-051, FR-095–096, FR-101–102, FR-113–115, FR-120–121</t>
  </si>
  <si>
    <t xml:space="preserve">WP-5.1, WP-5.2</t>
  </si>
  <si>
    <t xml:space="preserve">AC-10</t>
  </si>
  <si>
    <t xml:space="preserve">Code review findings + evidence; reviewer read-only</t>
  </si>
  <si>
    <t xml:space="preserve">FR-042–043, FR-097–099</t>
  </si>
  <si>
    <t xml:space="preserve">User Proxy status per kriteria + link evidence</t>
  </si>
  <si>
    <t xml:space="preserve">FR-039, FR-049, FR-058, FR-092–093, FR-103, FR-105–108, FR-110</t>
  </si>
  <si>
    <t xml:space="preserve">AC-12</t>
  </si>
  <si>
    <t xml:space="preserve">Requirement wajib gagal tidak diterima tanpa waiver</t>
  </si>
  <si>
    <t xml:space="preserve">FR-052, FR-058, FR-104, FR-111–112</t>
  </si>
  <si>
    <t xml:space="preserve">AC-13</t>
  </si>
  <si>
    <t xml:space="preserve">R3 butuh approval valid; payload berubah → batal</t>
  </si>
  <si>
    <t xml:space="preserve">FR-018, FR-043, FR-062–063, FR-067, FR-101, FR-112, FR-118–119, FR-138, FR-141, FR-147</t>
  </si>
  <si>
    <t xml:space="preserve">WP-3.1, WP-INT-03</t>
  </si>
  <si>
    <t xml:space="preserve">AC-14</t>
  </si>
  <si>
    <t xml:space="preserve">Task dapat dibatalkan; sandbox dihentikan</t>
  </si>
  <si>
    <t xml:space="preserve">FR-036, FR-052, FR-057, FR-082</t>
  </si>
  <si>
    <t xml:space="preserve">WP-3.2, WP-INT-02</t>
  </si>
  <si>
    <t xml:space="preserve">Secret tidak muncul di frontend/log/artefak</t>
  </si>
  <si>
    <t xml:space="preserve">FR-002, FR-025, FR-098, FR-126, FR-128, FR-135, FR-144, FR-158</t>
  </si>
  <si>
    <t xml:space="preserve">WP-1.1, WP-INT-05</t>
  </si>
  <si>
    <t xml:space="preserve">Sebagian (gap ADR-030)</t>
  </si>
  <si>
    <t xml:space="preserve">Token/biaya aktual atau 'unavailable'</t>
  </si>
  <si>
    <t xml:space="preserve">FR-011, FR-046, FR-064, FR-131–134, FR-150</t>
  </si>
  <si>
    <t xml:space="preserve">WP-3.1, WP-INT-02</t>
  </si>
  <si>
    <t xml:space="preserve">AC-17</t>
  </si>
  <si>
    <t xml:space="preserve">Restart backend tidak menghilangkan task running</t>
  </si>
  <si>
    <t xml:space="preserve">FR-010, FR-053–056</t>
  </si>
  <si>
    <t xml:space="preserve">AC-18</t>
  </si>
  <si>
    <t xml:space="preserve">Perbaikan gap + revalidasi terbatas</t>
  </si>
  <si>
    <t xml:space="preserve">FR-100, FR-104, FR-109</t>
  </si>
  <si>
    <t xml:space="preserve">Perubahan punya referensi task &amp; audit</t>
  </si>
  <si>
    <t xml:space="preserve">FR-005, FR-009, FR-046–047, FR-066, FR-114, FR-116, FR-143–148, FR-152, FR-154, FR-159</t>
  </si>
  <si>
    <t xml:space="preserve">WP-1.1, WP-2.1</t>
  </si>
  <si>
    <t xml:space="preserve">Repo privat dapat diimpor lewat GitHub App tanpa token tersimpan di DB/log/.git/config</t>
  </si>
  <si>
    <t xml:space="preserve">– (perluasan)</t>
  </si>
  <si>
    <t xml:space="preserve">WP-9.1, WP-9.3</t>
  </si>
  <si>
    <t xml:space="preserve">Push branch &amp; PR hanya setelah approval R3 terikat head_commit; workflow CI tidak dapat diubah</t>
  </si>
  <si>
    <t xml:space="preserve">Webhook dengan tanda tangan salah ditolak; delivery ganda diabaikan</t>
  </si>
  <si>
    <t xml:space="preserve">Setiap klaim dari web disertai sitasi + tanggal pencarian; jawaban tanpa sumber diberi label</t>
  </si>
  <si>
    <t xml:space="preserve">WP-10.3, WP-10.5</t>
  </si>
  <si>
    <t xml:space="preserve">AX-05</t>
  </si>
  <si>
    <t xml:space="preserve">Dokumen PPT/DOCX/XLSX/PDF valid dapat diunduh lewat URL bertanda tangan</t>
  </si>
  <si>
    <t xml:space="preserve">AX-06</t>
  </si>
  <si>
    <t xml:space="preserve">Data berlabel confidential memakai engine lokal; tidak dikirim ke Skills</t>
  </si>
  <si>
    <t xml:space="preserve">Generate gambar mematuhi moderasi, kuota, dan menyimpan provenance</t>
  </si>
  <si>
    <t xml:space="preserve">Publikasi portfolio memerlukan approval R3 + cek privasi; repo privat hanya metadata terpilih</t>
  </si>
  <si>
    <t xml:space="preserve">WP-12.2, WP-12.4</t>
  </si>
  <si>
    <t xml:space="preserve">AI di portfolio hanya membuat draft bertanda; tidak mengarang pencapaian/testimoni</t>
  </si>
  <si>
    <t xml:space="preserve">WP-12.1, WP-12.3</t>
  </si>
  <si>
    <t xml:space="preserve">Jawaban KB menampilkan sitasi ke potongan dokumen sumber (blok search_result)</t>
  </si>
  <si>
    <t xml:space="preserve">FR-168, FR-175–177</t>
  </si>
  <si>
    <t xml:space="preserve">Router hanya memanggil capability yang aktif &amp; dalam kuota (nonaktif/kuota habis → 0 panggilan provider)</t>
  </si>
  <si>
    <t xml:space="preserve">FR-163, FR-165, FR-213–217</t>
  </si>
  <si>
    <t xml:space="preserve">WP-10.1, WP-9.0</t>
  </si>
  <si>
    <t xml:space="preserve">Edit manual: buat/edit/rename/hapus file dengan version check; tidak ada overwrite diam-diam; take-over menandai bukti stale &amp; memblokir apply sampai validasi ulang</t>
  </si>
  <si>
    <t xml:space="preserve">Run, test, dan terminal dari IDE hanya di sandbox dan tersimpan sebagai bukti</t>
  </si>
  <si>
    <t xml:space="preserve">FR-239–241</t>
  </si>
  <si>
    <t xml:space="preserve">WP-13.2, WP-13.3</t>
  </si>
  <si>
    <t xml:space="preserve">Story ≥ 5 task berjalan paralel; merge queue menguji ulang tiap entri; branch target tidak berisi commit gagal test wajib</t>
  </si>
  <si>
    <t xml:space="preserve">FR-221–225, FR-230, FR-254</t>
  </si>
  <si>
    <t xml:space="preserve">WP-13.4, WP-13.5, WP-13.9, WP-13.12</t>
  </si>
  <si>
    <t xml:space="preserve">Release dapat ditelusuri requirement → story → task → commit → test → acceptance dan diekspor</t>
  </si>
  <si>
    <t xml:space="preserve">FR-222, FR-226, FR-228, FR-231</t>
  </si>
  <si>
    <t xml:space="preserve">WP-13.4, WP-13.6, WP-13.10</t>
  </si>
  <si>
    <t xml:space="preserve">Tier M: node executor ditambah tanpa ubah kode domain; node gagal → task dilanjutkan dari checkpoint</t>
  </si>
  <si>
    <t xml:space="preserve">Identitas &amp; tenancy: OIDC (G13); SAML, SCIM ≤ 5 menit, isolasi organisasi, DR drill, SIEM berantai hash (G14)</t>
  </si>
  <si>
    <t xml:space="preserve">FR-249–252, FR-256–257</t>
  </si>
  <si>
    <t xml:space="preserve">WP-13.8, WP-14.1..14.5</t>
  </si>
  <si>
    <t xml:space="preserve">WP-G13 (OIDC), WP-G14</t>
  </si>
  <si>
    <t xml:space="preserve">Repo ≥ 1 juta LOC: index inkremental &amp; pemilihan konteks dalam batas waktu; agent hanya menerima file relevan</t>
  </si>
  <si>
    <t xml:space="preserve">WP-13.9, WP-14.7</t>
  </si>
  <si>
    <t xml:space="preserve">Setiap panggilan model/vendor tampil di monitoring ≤ 2 dtk dengan token &amp; estimasi biaya; total = ledger; alert budget tepat ambang</t>
  </si>
  <si>
    <t xml:space="preserve">FR-283–287, FR-290</t>
  </si>
  <si>
    <t xml:space="preserve">WP-6.9, WP-10.7</t>
  </si>
  <si>
    <t xml:space="preserve">WP-G6 (WP-10.7 → WP-G10)</t>
  </si>
  <si>
    <t xml:space="preserve">Belum (prototipe demo)</t>
  </si>
  <si>
    <t xml:space="preserve">Rekonsiliasi Admin API: selisih per model per menit/hari; tanpa kredensial berlabel estimasi + alasan; kunci admin tidak keluar dari worker-integrations</t>
  </si>
  <si>
    <t xml:space="preserve">FR-288–290, FR-292</t>
  </si>
  <si>
    <t xml:space="preserve">Setiap pack gelombang 1: template (L1), deps via proxy, build, test, lint, run &amp; package (L1) di sandbox; status test dari laporan nyata</t>
  </si>
  <si>
    <t xml:space="preserve">FR-259–264, FR-267–269</t>
  </si>
  <si>
    <t xml:space="preserve">WP-15.0..15.9</t>
  </si>
  <si>
    <t xml:space="preserve">Agent lulus set evaluasi per pack L1 di atas ambang PO dengan bukti test</t>
  </si>
  <si>
    <t xml:space="preserve">Env ≥ 3 service beda bahasa + DB + broker terisolasi tanpa egress, E2E lulus, teardown otomatis; spec ilegal ditolak</t>
  </si>
  <si>
    <t xml:space="preserve">FR-269, FR-271, FR-275, FR-277–280</t>
  </si>
  <si>
    <t xml:space="preserve">WP-16.1, WP-16.3, WP-16.4</t>
  </si>
  <si>
    <t xml:space="preserve">Breaking change kontrak memblokir merge queue sampai consumer diperbarui; story lintas service merge setelah contract test + E2E</t>
  </si>
  <si>
    <t xml:space="preserve">FR-272–274, FR-276, FR-282</t>
  </si>
  <si>
    <t xml:space="preserve">WP-16.2, WP-16.3</t>
  </si>
  <si>
    <t xml:space="preserve">Jalan dari prosedur deployment + health checks</t>
  </si>
  <si>
    <t xml:space="preserve">FR-135, FR-137, FR-149</t>
  </si>
  <si>
    <t xml:space="preserve">WP-1.6, WP-E2E-03, WP-7.1</t>
  </si>
  <si>
    <t xml:space="preserve">Status Modul</t>
  </si>
  <si>
    <t xml:space="preserve">20 modul PRD §5 → owner agent dan status kode snapshot (integrasi E2E: semua belum).</t>
  </si>
  <si>
    <t xml:space="preserve">Owner agent</t>
  </si>
  <si>
    <t xml:space="preserve">Status kode</t>
  </si>
  <si>
    <t xml:space="preserve">Gap utama</t>
  </si>
  <si>
    <t xml:space="preserve">M01</t>
  </si>
  <si>
    <t xml:space="preserve">Authentication &amp; User Access</t>
  </si>
  <si>
    <t xml:space="preserve">FR-001–006</t>
  </si>
  <si>
    <t xml:space="preserve">AG-01, AG-04</t>
  </si>
  <si>
    <t xml:space="preserve">Snapshot</t>
  </si>
  <si>
    <t xml:space="preserve">SSO fase lanjut</t>
  </si>
  <si>
    <t xml:space="preserve">M02</t>
  </si>
  <si>
    <t xml:space="preserve">Dashboard</t>
  </si>
  <si>
    <t xml:space="preserve">FR-007–011</t>
  </si>
  <si>
    <t xml:space="preserve">AG-09, AG-04</t>
  </si>
  <si>
    <t xml:space="preserve">M03</t>
  </si>
  <si>
    <t xml:space="preserve">Project Management</t>
  </si>
  <si>
    <t xml:space="preserve">FR-012–018</t>
  </si>
  <si>
    <t xml:space="preserve">AG-09, AG-02, AG-04</t>
  </si>
  <si>
    <t xml:space="preserve">Delete belum membatalkan task aktif</t>
  </si>
  <si>
    <t xml:space="preserve">M04</t>
  </si>
  <si>
    <t xml:space="preserve">Repository &amp; Context</t>
  </si>
  <si>
    <t xml:space="preserve">FR-019–025</t>
  </si>
  <si>
    <t xml:space="preserve">AG-09, AG-02</t>
  </si>
  <si>
    <t xml:space="preserve">M05</t>
  </si>
  <si>
    <t xml:space="preserve">Browser IDE</t>
  </si>
  <si>
    <t xml:space="preserve">FR-026–032</t>
  </si>
  <si>
    <t xml:space="preserve">AG-09, AG-10</t>
  </si>
  <si>
    <t xml:space="preserve">Uji browser nyata di E2E</t>
  </si>
  <si>
    <t xml:space="preserve">M06</t>
  </si>
  <si>
    <t xml:space="preserve">AI Chat Workspace</t>
  </si>
  <si>
    <t xml:space="preserve">FR-033–040</t>
  </si>
  <si>
    <t xml:space="preserve">M07</t>
  </si>
  <si>
    <t xml:space="preserve">Agent Registry</t>
  </si>
  <si>
    <t xml:space="preserve">P0/P1</t>
  </si>
  <si>
    <t xml:space="preserve">AG-05, AG-07, AG-04</t>
  </si>
  <si>
    <t xml:space="preserve">Admin UI enable/disable P1</t>
  </si>
  <si>
    <t xml:space="preserve">Orchestrator &amp; Workflow Engine</t>
  </si>
  <si>
    <t xml:space="preserve">FR-048–058</t>
  </si>
  <si>
    <t xml:space="preserve">AG-08, AG-01</t>
  </si>
  <si>
    <t xml:space="preserve">ADR-021/022/024</t>
  </si>
  <si>
    <t xml:space="preserve">M09</t>
  </si>
  <si>
    <t xml:space="preserve">Tool Gateway &amp; Policy</t>
  </si>
  <si>
    <t xml:space="preserve">FR-059–067</t>
  </si>
  <si>
    <t xml:space="preserve">ADR-030</t>
  </si>
  <si>
    <t xml:space="preserve">Terbukti (komponen)</t>
  </si>
  <si>
    <t xml:space="preserve">gVisor belum diuji</t>
  </si>
  <si>
    <t xml:space="preserve">M11</t>
  </si>
  <si>
    <t xml:space="preserve">Terminal &amp; Command Runner</t>
  </si>
  <si>
    <t xml:space="preserve">FR-077–083</t>
  </si>
  <si>
    <t xml:space="preserve">AG-03, AG-08, AG-10</t>
  </si>
  <si>
    <t xml:space="preserve">Testing &amp; Debugging</t>
  </si>
  <si>
    <t xml:space="preserve">E2E browser QA P1</t>
  </si>
  <si>
    <t xml:space="preserve">M13</t>
  </si>
  <si>
    <t xml:space="preserve">Diff &amp; Code Review</t>
  </si>
  <si>
    <t xml:space="preserve">FR-095–102</t>
  </si>
  <si>
    <t xml:space="preserve">Field author finding</t>
  </si>
  <si>
    <t xml:space="preserve">M14</t>
  </si>
  <si>
    <t xml:space="preserve">User Proxy Acceptance</t>
  </si>
  <si>
    <t xml:space="preserve">FR-103–112</t>
  </si>
  <si>
    <t xml:space="preserve">AG-08, AG-07, AG-10</t>
  </si>
  <si>
    <t xml:space="preserve">UI E2E</t>
  </si>
  <si>
    <t xml:space="preserve">M15</t>
  </si>
  <si>
    <t xml:space="preserve">Git &amp; Remote Collaboration</t>
  </si>
  <si>
    <t xml:space="preserve">FR-113–120</t>
  </si>
  <si>
    <t xml:space="preserve">P0/P2</t>
  </si>
  <si>
    <t xml:space="preserve">AG-02, AG-09</t>
  </si>
  <si>
    <t xml:space="preserve">Remote push/PR P2</t>
  </si>
  <si>
    <t xml:space="preserve">M16</t>
  </si>
  <si>
    <t xml:space="preserve">Documentation &amp; Knowledge</t>
  </si>
  <si>
    <t xml:space="preserve">FR-121–127</t>
  </si>
  <si>
    <t xml:space="preserve">FR-127</t>
  </si>
  <si>
    <t xml:space="preserve">Provider &amp; Model Settings</t>
  </si>
  <si>
    <t xml:space="preserve">Readiness gate key nyata</t>
  </si>
  <si>
    <t xml:space="preserve">Deployment &amp; Environments</t>
  </si>
  <si>
    <t xml:space="preserve">AG-08, AG-06, AG-11</t>
  </si>
  <si>
    <t xml:space="preserve">Preview routing, production gated</t>
  </si>
  <si>
    <t xml:space="preserve">Observability &amp; Audit</t>
  </si>
  <si>
    <t xml:space="preserve">FR-144–151</t>
  </si>
  <si>
    <t xml:space="preserve">AG-01, AG-09, AG-11</t>
  </si>
  <si>
    <t xml:space="preserve">Dashboard P1</t>
  </si>
  <si>
    <t xml:space="preserve">Portal AI (chat, riset web, dokumen, gambar, KB, analisis)</t>
  </si>
  <si>
    <t xml:space="preserve">FR-160–184 (v2)</t>
  </si>
  <si>
    <t xml:space="preserve">P1 (inti P10 = P0)</t>
  </si>
  <si>
    <t xml:space="preserve">AG-19, AG-20</t>
  </si>
  <si>
    <t xml:space="preserve">ADR-036..040, 046, 047</t>
  </si>
  <si>
    <t xml:space="preserve">Integrasi GitHub App</t>
  </si>
  <si>
    <t xml:space="preserve">FR-185–196 (v2)</t>
  </si>
  <si>
    <t xml:space="preserve">P0 (fase P9)</t>
  </si>
  <si>
    <t xml:space="preserve">AG-18, AG-10</t>
  </si>
  <si>
    <t xml:space="preserve">ADR-041, 053, 056</t>
  </si>
  <si>
    <t xml:space="preserve">Portal Portfolio Profesional</t>
  </si>
  <si>
    <t xml:space="preserve">FR-197–212 (v2)</t>
  </si>
  <si>
    <t xml:space="preserve">ADR-042, 056</t>
  </si>
  <si>
    <t xml:space="preserve">Capability Registry &amp; Provider Gateway</t>
  </si>
  <si>
    <t xml:space="preserve">FR-213–220 (v2)</t>
  </si>
  <si>
    <t xml:space="preserve">P0 (fase P10)</t>
  </si>
  <si>
    <t xml:space="preserve">ADR-037, 044, 050, 051</t>
  </si>
  <si>
    <t xml:space="preserve">SDLC Program &amp; Delivery Management</t>
  </si>
  <si>
    <t xml:space="preserve">FR-221–234 (v2.1)</t>
  </si>
  <si>
    <t xml:space="preserve">P1 (merge queue &amp; traceability P0ᵉ)</t>
  </si>
  <si>
    <t xml:space="preserve">AG-08, AG-09, AG-10, AG-11, AG-14, AG-15, AG-18</t>
  </si>
  <si>
    <t xml:space="preserve">ADR-057</t>
  </si>
  <si>
    <t xml:space="preserve">Developer Workspace v2 — edit, run, test, debug manual</t>
  </si>
  <si>
    <t xml:space="preserve">FR-235–244 (v2.1)</t>
  </si>
  <si>
    <t xml:space="preserve">P0ᵉ (FR-235–237); P1/P2</t>
  </si>
  <si>
    <t xml:space="preserve">AG-09, AG-10, AG-03, AG-02</t>
  </si>
  <si>
    <t xml:space="preserve">ADR-058, 059</t>
  </si>
  <si>
    <t xml:space="preserve">Scale &amp; Enterprise Platform (tier S/M/L)</t>
  </si>
  <si>
    <t xml:space="preserve">FR-245–258 (v2.1)</t>
  </si>
  <si>
    <t xml:space="preserve">P1 tier M; P2 tier L</t>
  </si>
  <si>
    <t xml:space="preserve">AG-06, AG-03, AG-01, AG-02, AG-07, AG-09, AG-11, AG-12</t>
  </si>
  <si>
    <t xml:space="preserve">ADR-060, 061, 062</t>
  </si>
  <si>
    <t xml:space="preserve">Polyglot Language Packs</t>
  </si>
  <si>
    <t xml:space="preserve">FR-259–270 (v2.2)</t>
  </si>
  <si>
    <t xml:space="preserve">P1 (L1 = P0ᵉ fase P15)</t>
  </si>
  <si>
    <t xml:space="preserve">AG-03, AG-06, AG-09, AG-10, AG-12, AG-15</t>
  </si>
  <si>
    <t xml:space="preserve">ADR-063, 064, 068</t>
  </si>
  <si>
    <t xml:space="preserve">Lingkungan Integrasi Multi-Service &amp; Kontrak</t>
  </si>
  <si>
    <t xml:space="preserve">FR-271–282 (v2.2)</t>
  </si>
  <si>
    <t xml:space="preserve">AG-03, AG-08, AG-09, AG-10, AG-12, AG-15</t>
  </si>
  <si>
    <t xml:space="preserve">ADR-065, 066</t>
  </si>
  <si>
    <t xml:space="preserve">Monitoring Biaya &amp; Token Realtime</t>
  </si>
  <si>
    <t xml:space="preserve">FR-283–292 (v2.2)</t>
  </si>
  <si>
    <t xml:space="preserve">P0ᵉ inti; P1 rekonsiliasi</t>
  </si>
  <si>
    <t xml:space="preserve">AG-07, AG-11, AG-18, AG-19</t>
  </si>
  <si>
    <t xml:space="preserve">ADR-067</t>
  </si>
  <si>
    <t xml:space="preserve">M20</t>
  </si>
  <si>
    <t xml:space="preserve">Admin &amp; Governance</t>
  </si>
  <si>
    <t xml:space="preserve">FR-152–159</t>
  </si>
  <si>
    <t xml:space="preserve">Gates</t>
  </si>
  <si>
    <t xml:space="preserve">Gate persetujuan manusia. Agent tidak dapat melewati gate; User Proxy hanya merekomendasikan.</t>
  </si>
  <si>
    <t xml:space="preserve">Gate</t>
  </si>
  <si>
    <t xml:space="preserve">Titik</t>
  </si>
  <si>
    <t xml:space="preserve">Penyetuju</t>
  </si>
  <si>
    <t xml:space="preserve">Kriteria lulus</t>
  </si>
  <si>
    <t xml:space="preserve">Bukti yang diminta</t>
  </si>
  <si>
    <t xml:space="preserve">G0</t>
  </si>
  <si>
    <t xml:space="preserve">Exit Phase 0</t>
  </si>
  <si>
    <t xml:space="preserve">FR_CATALOG disetujui; 9 ADR Proposed diputuskan</t>
  </si>
  <si>
    <t xml:space="preserve">Dokumen keputusan PO</t>
  </si>
  <si>
    <t xml:space="preserve">G1</t>
  </si>
  <si>
    <t xml:space="preserve">Exit Phase 1</t>
  </si>
  <si>
    <t xml:space="preserve">Clean install, semua service sehat, migrasi jalan, smoke lulus</t>
  </si>
  <si>
    <t xml:space="preserve">Log make up + health</t>
  </si>
  <si>
    <t xml:space="preserve">G2</t>
  </si>
  <si>
    <t xml:space="preserve">Exit Phase 2</t>
  </si>
  <si>
    <t xml:space="preserve">User dapat membuka project dan view/edit file dengan uji otorisasi</t>
  </si>
  <si>
    <t xml:space="preserve">Test cross-project + demo</t>
  </si>
  <si>
    <t xml:space="preserve">Belum (kode snapshot ada)</t>
  </si>
  <si>
    <t xml:space="preserve">G3</t>
  </si>
  <si>
    <t xml:space="preserve">MVP DoD (PRD §13.1) — setelah staging WP-7.1</t>
  </si>
  <si>
    <t xml:space="preserve">Happy path E2E, AC P0 lulus di CI &amp; staging, tanpa temuan kritis, dokumen operator</t>
  </si>
  <si>
    <t xml:space="preserve">Laporan E2E + sign-off keamanan + log staging</t>
  </si>
  <si>
    <t xml:space="preserve">G4 🔒</t>
  </si>
  <si>
    <t xml:space="preserve">Security gate sebelum egress internet</t>
  </si>
  <si>
    <t xml:space="preserve">Threat T1–T10 terverifikasi, egress allowlist teruji</t>
  </si>
  <si>
    <t xml:space="preserve">Sign-off keamanan</t>
  </si>
  <si>
    <t xml:space="preserve">G5</t>
  </si>
  <si>
    <t xml:space="preserve">Exit Phase 5</t>
  </si>
  <si>
    <t xml:space="preserve">Rekaman Playwright AC-18</t>
  </si>
  <si>
    <t xml:space="preserve">G6</t>
  </si>
  <si>
    <t xml:space="preserve">Exit Phase 6</t>
  </si>
  <si>
    <t xml:space="preserve">Semua P0 + P1 yang disepakati lulus; review biaya &amp; usability pilot; monitoring biaya &amp; token realtime (AX-19, AX-20 bila kredensial ada)</t>
  </si>
  <si>
    <t xml:space="preserve">Metrik pilot + E2E monitoring</t>
  </si>
  <si>
    <t xml:space="preserve">G7</t>
  </si>
  <si>
    <t xml:space="preserve">Exit Phase 7</t>
  </si>
  <si>
    <t xml:space="preserve">PO + OPS</t>
  </si>
  <si>
    <t xml:space="preserve">Staging dapat diulang; rollback dilatih</t>
  </si>
  <si>
    <t xml:space="preserve">Log drill</t>
  </si>
  <si>
    <t xml:space="preserve">G8</t>
  </si>
  <si>
    <t xml:space="preserve">Aktivasi tiap specialist</t>
  </si>
  <si>
    <t xml:space="preserve">Manfaat terukur &gt; kompleksitas; contract test &amp; eval set lulus</t>
  </si>
  <si>
    <t xml:space="preserve">Laporan eval</t>
  </si>
  <si>
    <t xml:space="preserve">G9</t>
  </si>
  <si>
    <t xml:space="preserve">GitHub end-to-end</t>
  </si>
  <si>
    <t xml:space="preserve">Repo privat: import → task → approval → PR; token tidak tersimpan; webhook HMAC teruji</t>
  </si>
  <si>
    <t xml:space="preserve">Rekaman E2E + sign-off keamanan</t>
  </si>
  <si>
    <t xml:space="preserve">G10</t>
  </si>
  <si>
    <t xml:space="preserve">Portal AI inti</t>
  </si>
  <si>
    <t xml:space="preserve">Evaluasi sitasi &amp; biaya lulus ambang; data-flow per capability terdokumentasi; capability nonaktif/kuota habis tidak memanggil provider (AX-11)</t>
  </si>
  <si>
    <t xml:space="preserve">Laporan evaluasi</t>
  </si>
  <si>
    <t xml:space="preserve">G11</t>
  </si>
  <si>
    <t xml:space="preserve">Gambar &amp; analisis</t>
  </si>
  <si>
    <t xml:space="preserve">Moderasi &amp; kuota teruji; vendor ADR-040a disetujui; KB bersitasi Recall@8 ≥ 0.85 (AX-10)</t>
  </si>
  <si>
    <t xml:space="preserve">Laporan uji vendor + eval KB</t>
  </si>
  <si>
    <t xml:space="preserve">G12</t>
  </si>
  <si>
    <t xml:space="preserve">Portfolio</t>
  </si>
  <si>
    <t xml:space="preserve">CV &amp; situs publik dari data nyata pengguna; publish via R3</t>
  </si>
  <si>
    <t xml:space="preserve">Pratinjau + approval</t>
  </si>
  <si>
    <t xml:space="preserve">G13</t>
  </si>
  <si>
    <t xml:space="preserve">SDLC end-to-end tier M</t>
  </si>
  <si>
    <t xml:space="preserve">Program kecil end-to-end di tier M; merge queue &amp; traceability; edit/take-over/run/test/terminal; failover node; OIDC</t>
  </si>
  <si>
    <t xml:space="preserve">Rekaman E2E + laporan chaos + sign-off keamanan</t>
  </si>
  <si>
    <t xml:space="preserve">G14</t>
  </si>
  <si>
    <t xml:space="preserve">Enterprise tier L</t>
  </si>
  <si>
    <t xml:space="preserve">SAML/SCIM, isolasi tenant, microVM, DR drill, SIEM, benchmark repo besar</t>
  </si>
  <si>
    <t xml:space="preserve">Laporan uji + DR drill + sign-off keamanan</t>
  </si>
  <si>
    <t xml:space="preserve">G15</t>
  </si>
  <si>
    <t xml:space="preserve">Polyglot language packs gelombang 1</t>
  </si>
  <si>
    <t xml:space="preserve">Matriks test semua pack di CI; deps hanya via proxy; eval per pack L1 ≥ ambang PO; sign-off proxy dependensi</t>
  </si>
  <si>
    <t xml:space="preserve">Laporan matriks + eval per bahasa + sign-off keamanan</t>
  </si>
  <si>
    <t xml:space="preserve">G16</t>
  </si>
  <si>
    <t xml:space="preserve">Sistem enterprise terintegrasi multi-bahasa</t>
  </si>
  <si>
    <t xml:space="preserve">≥ 3 service beda bahasa + DB + broker terisolasi tanpa egress; E2E lintas service; breaking change memblokir merge queue</t>
  </si>
  <si>
    <t xml:space="preserve">Rekaman env + laporan E2E + sign-off keamanan</t>
  </si>
  <si>
    <t xml:space="preserve">RT</t>
  </si>
  <si>
    <t xml:space="preserve">Approval runtime R3 di produk</t>
  </si>
  <si>
    <t xml:space="preserve">Pengguna berwenang</t>
  </si>
  <si>
    <t xml:space="preserve">Aksi R3 hanya jalan dengan approval terikat payload hash, sekali pakai</t>
  </si>
  <si>
    <t xml:space="preserve">Audit event</t>
  </si>
  <si>
    <t xml:space="preserve">Desain ✅</t>
  </si>
  <si>
    <t xml:space="preserve">Risiko</t>
  </si>
  <si>
    <t xml:space="preserve">Risiko PRD §15 (R-xx) + risiko baru dari build Wave 1–2 (RN-xx).</t>
  </si>
  <si>
    <t xml:space="preserve">Severity</t>
  </si>
  <si>
    <t xml:space="preserve">Mitigasi</t>
  </si>
  <si>
    <t xml:space="preserve">Pemilik</t>
  </si>
  <si>
    <t xml:space="preserve">R-01</t>
  </si>
  <si>
    <t xml:space="preserve">Arbitrary code execution di VPS</t>
  </si>
  <si>
    <t xml:space="preserve">Critical</t>
  </si>
  <si>
    <t xml:space="preserve">Sandbox profil tetap, socket-proxy, .git mask, limit; gVisor di production</t>
  </si>
  <si>
    <t xml:space="preserve">AG-03, AG-13</t>
  </si>
  <si>
    <t xml:space="preserve">Dimitigasi (komponen terbukti)</t>
  </si>
  <si>
    <t xml:space="preserve">R-02</t>
  </si>
  <si>
    <t xml:space="preserve">Prompt injection dari repository/log</t>
  </si>
  <si>
    <t xml:space="preserve">High</t>
  </si>
  <si>
    <t xml:space="preserve">Policy di luar LLM, konten = data, allowlist tool, approval R3</t>
  </si>
  <si>
    <t xml:space="preserve">AG-07, AG-13</t>
  </si>
  <si>
    <t xml:space="preserve">Didesain; uji fixture di WP-SEC-01</t>
  </si>
  <si>
    <t xml:space="preserve">R-03</t>
  </si>
  <si>
    <t xml:space="preserve">Agent mengubah file bersamaan</t>
  </si>
  <si>
    <t xml:space="preserve">Worktree per task, patch atomik, version check</t>
  </si>
  <si>
    <t xml:space="preserve">AG-02, AG-08</t>
  </si>
  <si>
    <t xml:space="preserve">Didesain &amp; dibangun</t>
  </si>
  <si>
    <t xml:space="preserve">R-04</t>
  </si>
  <si>
    <t xml:space="preserve">LLM mengaku test lulus tanpa bukti</t>
  </si>
  <si>
    <t xml:space="preserve">Status hanya dari exit code; downgrade evidence User Proxy</t>
  </si>
  <si>
    <t xml:space="preserve">Dibangun &amp; teruji</t>
  </si>
  <si>
    <t xml:space="preserve">R-05</t>
  </si>
  <si>
    <t xml:space="preserve">Biaya model meningkat karena loop</t>
  </si>
  <si>
    <t xml:space="preserve">BudgetGuard, batas iterasi/debug/remediasi, kill switch</t>
  </si>
  <si>
    <t xml:space="preserve">Dibangun; TASK_MAX_ITERATIONS di WP-INT-01</t>
  </si>
  <si>
    <t xml:space="preserve">R-06</t>
  </si>
  <si>
    <t xml:space="preserve">Scope melebar ke 41 agent terlalu awal</t>
  </si>
  <si>
    <t xml:space="preserve">6 runtime LLM; 22 agent planned; aktivasi per gate G8</t>
  </si>
  <si>
    <t xml:space="preserve">Dikendalikan</t>
  </si>
  <si>
    <t xml:space="preserve">R-07</t>
  </si>
  <si>
    <t xml:space="preserve">Kehilangan perubahan pengguna</t>
  </si>
  <si>
    <t xml:space="preserve">Review-first, expected_sha256, merge tanpa overwrite</t>
  </si>
  <si>
    <t xml:space="preserve">Dibangun</t>
  </si>
  <si>
    <t xml:space="preserve">R-08</t>
  </si>
  <si>
    <t xml:space="preserve">Install dependency butuh network terbuka</t>
  </si>
  <si>
    <t xml:space="preserve">Medium/High</t>
  </si>
  <si>
    <t xml:space="preserve">Egress proxy allowlist (ADR-007)</t>
  </si>
  <si>
    <t xml:space="preserve">Desain; WP-6.5</t>
  </si>
  <si>
    <t xml:space="preserve">R-09</t>
  </si>
  <si>
    <t xml:space="preserve">Provider tidak mengirim biaya</t>
  </si>
  <si>
    <t xml:space="preserve">Medium</t>
  </si>
  <si>
    <t xml:space="preserve">cost_status estimated/partial/unavailable</t>
  </si>
  <si>
    <t xml:space="preserve">R-10</t>
  </si>
  <si>
    <t xml:space="preserve">Batas resource single VPS</t>
  </si>
  <si>
    <t xml:space="preserve">MAX_ACTIVE_TASKS, pemisahan worker/sandbox (ADR-010)</t>
  </si>
  <si>
    <t xml:space="preserve">Didesain</t>
  </si>
  <si>
    <t xml:space="preserve">RN-01</t>
  </si>
  <si>
    <t xml:space="preserve">.git/config dari sandbox → eksekusi di host saat git dijalankan worker</t>
  </si>
  <si>
    <t xml:space="preserve">Allowlist config GitAdapter + .git disembunyikan di sandbox (ADR-026)</t>
  </si>
  <si>
    <t xml:space="preserve">AG-02, AG-03</t>
  </si>
  <si>
    <t xml:space="preserve">Dimitigasi</t>
  </si>
  <si>
    <t xml:space="preserve">RN-02</t>
  </si>
  <si>
    <t xml:space="preserve">Bypass layering via importlib tidak terdeteksi linter</t>
  </si>
  <si>
    <t xml:space="preserve">WorkflowPorts/ToolPorts (ADR-022)</t>
  </si>
  <si>
    <t xml:space="preserve">Desain; WP-INT-03</t>
  </si>
  <si>
    <t xml:space="preserve">RN-03</t>
  </si>
  <si>
    <t xml:space="preserve">SDK Anthropic mencatat prompt di level DEBUG</t>
  </si>
  <si>
    <t xml:space="preserve">Logger SDK dikunci WARNING; test log</t>
  </si>
  <si>
    <t xml:space="preserve">Diperbaiki di snapshot</t>
  </si>
  <si>
    <t xml:space="preserve">RN-04</t>
  </si>
  <si>
    <t xml:space="preserve">Transisi state kurang (apply conflict, R3 ditolak, planning)</t>
  </si>
  <si>
    <t xml:space="preserve">ADR-021</t>
  </si>
  <si>
    <t xml:space="preserve">AG-01, AG-08</t>
  </si>
  <si>
    <t xml:space="preserve">Desain; WP-INT-02</t>
  </si>
  <si>
    <t xml:space="preserve">RN-05</t>
  </si>
  <si>
    <t xml:space="preserve">Harga model baru belum terpublikasi</t>
  </si>
  <si>
    <t xml:space="preserve">Ditandai verify_before_production; tampil 'estimasi'</t>
  </si>
  <si>
    <t xml:space="preserve">AG-07, OPS</t>
  </si>
  <si>
    <t xml:space="preserve">Verifikasi di WP-INT-07</t>
  </si>
  <si>
    <t xml:space="preserve">RN-06</t>
  </si>
  <si>
    <t xml:space="preserve">Integrasi belum diuji E2E (implementasi dihentikan)</t>
  </si>
  <si>
    <t xml:space="preserve">Wave 3–4 (AG-12) sebelum klaim MVP</t>
  </si>
  <si>
    <t xml:space="preserve">Terbuka</t>
  </si>
  <si>
    <t xml:space="preserve">RN-07</t>
  </si>
  <si>
    <t xml:space="preserve">Pola redaksi huruf kecil lolos</t>
  </si>
  <si>
    <t xml:space="preserve">AG-01, AG-13</t>
  </si>
  <si>
    <t xml:space="preserve">Desain; WP-INT-05</t>
  </si>
  <si>
    <t xml:space="preserve">RN-09</t>
  </si>
  <si>
    <t xml:space="preserve">Scope melebar 3 portal sebelum IDE stabil</t>
  </si>
  <si>
    <t xml:space="preserve">Urutan fase P9–P12 hanya setelah G3; gate per fase</t>
  </si>
  <si>
    <t xml:space="preserve">RN-10</t>
  </si>
  <si>
    <t xml:space="preserve">Kunci GitHub App bocor → akses repo privat</t>
  </si>
  <si>
    <t xml:space="preserve">Secret file read-only, token per operasi ≤1 jam, redaksi ghs_/ghu_, rotasi kunci di RUNBOOK</t>
  </si>
  <si>
    <t xml:space="preserve">AG-18, AG-13, OPS</t>
  </si>
  <si>
    <t xml:space="preserve">Desain (ADR-041)</t>
  </si>
  <si>
    <t xml:space="preserve">RN-11</t>
  </si>
  <si>
    <t xml:space="preserve">Agent Skills tidak tercakup ZDR</t>
  </si>
  <si>
    <t xml:space="preserve">Engine lokal untuk confidential; tabel data-flow di Settings</t>
  </si>
  <si>
    <t xml:space="preserve">AG-19, PO</t>
  </si>
  <si>
    <t xml:space="preserve">Desain (ADR-039)</t>
  </si>
  <si>
    <t xml:space="preserve">RN-12</t>
  </si>
  <si>
    <t xml:space="preserve">Ekspektasi 'akurat' melebihi kemampuan model</t>
  </si>
  <si>
    <t xml:space="preserve">Sitasi wajib, label tanpa sumber, evaluasi WP-10.6</t>
  </si>
  <si>
    <t xml:space="preserve">AG-19, AG-12</t>
  </si>
  <si>
    <t xml:space="preserve">Desain (ADR-038)</t>
  </si>
  <si>
    <t xml:space="preserve">RN-13</t>
  </si>
  <si>
    <t xml:space="preserve">Harga &amp; ketersediaan vendor gambar berubah</t>
  </si>
  <si>
    <t xml:space="preserve">Adapter netral, ADR-040a, kuota &amp; estimasi biaya</t>
  </si>
  <si>
    <t xml:space="preserve">Desain (ADR-040)</t>
  </si>
  <si>
    <t xml:space="preserve">RN-14</t>
  </si>
  <si>
    <t xml:space="preserve">Image toolchain besar (JVM, Android, C++) membebani disk &amp; waktu build (RP-01)</t>
  </si>
  <si>
    <t xml:space="preserve">Cache layer, node executor berdisk besar, pack dipasang sesuai kebutuhan</t>
  </si>
  <si>
    <t xml:space="preserve">Desain (ADR-063)</t>
  </si>
  <si>
    <t xml:space="preserve">RN-15</t>
  </si>
  <si>
    <t xml:space="preserve">Dependency confusion / typosquatting lintas ekosistem (RP-02, T24)</t>
  </si>
  <si>
    <t xml:space="preserve">Proxy per ekosistem, namespace tunggal, lockfile wajib, deps.audit, D24</t>
  </si>
  <si>
    <t xml:space="preserve">Desain (ADR-064)</t>
  </si>
  <si>
    <t xml:space="preserve">RN-16</t>
  </si>
  <si>
    <t xml:space="preserve">Lingkungan integrasi jadi jalur lateral movement (RP-03, T25)</t>
  </si>
  <si>
    <t xml:space="preserve">Network internal per env tanpa egress, tanpa host mount/privileged, image terdaftar, TTL</t>
  </si>
  <si>
    <t xml:space="preserve">Desain (ADR-065)</t>
  </si>
  <si>
    <t xml:space="preserve">RN-17</t>
  </si>
  <si>
    <t xml:space="preserve">Kredensial Admin API bocor = akses admin organisasi (RP-04, T26)</t>
  </si>
  <si>
    <t xml:space="preserve">Opsional, hanya worker-integrations, hanya endpoint usage/cost, redaksi sk-ant-admin, rotasi</t>
  </si>
  <si>
    <t xml:space="preserve">AG-07, AG-13, OPS</t>
  </si>
  <si>
    <t xml:space="preserve">Desain (ADR-067)</t>
  </si>
  <si>
    <t xml:space="preserve">RN-18</t>
  </si>
  <si>
    <t xml:space="preserve">Estimasi biaya menyimpang dari tagihan resmi (RP-05)</t>
  </si>
  <si>
    <t xml:space="preserve">Tarif berversi di PRICING_PATH, rekonsiliasi, label estimasi, alert selisih</t>
  </si>
  <si>
    <t xml:space="preserve">RN-19</t>
  </si>
  <si>
    <t xml:space="preserve">Scope 13 bahasa sekaligus menurunkan kualitas per bahasa</t>
  </si>
  <si>
    <t xml:space="preserve">Tingkat L1/L2, eval per pack, aktivasi per pack lewat G8</t>
  </si>
  <si>
    <t xml:space="preserve">AG-00, AG-12, PO</t>
  </si>
  <si>
    <t xml:space="preserve">RN-08</t>
  </si>
  <si>
    <t xml:space="preserve">Rate limit Docker Hub / proxy TLS saat build</t>
  </si>
  <si>
    <t xml:space="preserve">Low</t>
  </si>
  <si>
    <t xml:space="preserve">Mirror registry / cache image, build secret CA</t>
  </si>
  <si>
    <t xml:space="preserve">Tercatat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</si>
</sst>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0.000"/>
    <numFmt numFmtId="168" formatCode="0.0"/>
    <numFmt numFmtId="169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B45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B2B45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2B45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B2B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DF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FE4D6"/>
          <bgColor rgb="FF000000"/>
        </patternFill>
      </fill>
    </dxf>
    <dxf>
      <fill>
        <patternFill>
          <bgColor rgb="FFD1FADF"/>
        </patternFill>
      </fill>
    </dxf>
    <dxf>
      <fill>
        <patternFill>
          <bgColor rgb="FFDBEAFE"/>
        </patternFill>
      </fill>
    </dxf>
    <dxf>
      <fill>
        <patternFill>
          <bgColor rgb="FFFEF3C7"/>
        </patternFill>
      </fill>
    </dxf>
    <dxf>
      <fill>
        <patternFill>
          <bgColor rgb="FFF1F5F9"/>
        </patternFill>
      </fill>
    </dxf>
    <dxf>
      <fill>
        <patternFill>
          <bgColor rgb="FFFFE4D6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F26B3A"/>
      </font>
      <fill>
        <patternFill>
          <bgColor rgb="FFFDBA9A"/>
        </patternFill>
      </fill>
    </dxf>
    <dxf>
      <fill>
        <patternFill patternType="solid">
          <fgColor rgb="FFC7D2FE"/>
          <bgColor rgb="FF000000"/>
        </patternFill>
      </fill>
    </dxf>
    <dxf>
      <fill>
        <patternFill>
          <bgColor rgb="FFC7D2FE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>
          <bgColor rgb="FFFECAC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BD5E1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DF"/>
      <rgbColor rgb="FFFFE4D6"/>
      <rgbColor rgb="FF99CCFF"/>
      <rgbColor rgb="FFFECACA"/>
      <rgbColor rgb="FFCC99FF"/>
      <rgbColor rgb="FFFDBA9A"/>
      <rgbColor rgb="FF3366FF"/>
      <rgbColor rgb="FF33CCCC"/>
      <rgbColor rgb="FF99CC00"/>
      <rgbColor rgb="FFFFCC00"/>
      <rgbColor rgb="FFFF9900"/>
      <rgbColor rgb="FFF26B3A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6B3A"/>
    <pageSetUpPr fitToPage="tru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3.5" hidden="false" customHeight="true" outlineLevel="0" collapsed="false">
      <c r="A5" s="4" t="s">
        <v>3</v>
      </c>
      <c r="B5" s="4"/>
      <c r="C5" s="4"/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</row>
    <row r="7" customFormat="false" ht="15" hidden="false" customHeight="false" outlineLevel="0" collapsed="false">
      <c r="A7" s="6" t="s">
        <v>7</v>
      </c>
      <c r="B7" s="7" t="n">
        <f aca="false">COUNTA(WBS!A4:A140)</f>
        <v>137</v>
      </c>
      <c r="C7" s="6" t="s">
        <v>8</v>
      </c>
    </row>
    <row r="8" customFormat="false" ht="15" hidden="false" customHeight="false" outlineLevel="0" collapsed="false">
      <c r="A8" s="6" t="s">
        <v>9</v>
      </c>
      <c r="B8" s="7" t="n">
        <f aca="false">COUNTIF(WBS!M4:M140,"Selesai")</f>
        <v>12</v>
      </c>
      <c r="C8" s="6" t="s">
        <v>10</v>
      </c>
    </row>
    <row r="9" customFormat="false" ht="15" hidden="false" customHeight="false" outlineLevel="0" collapsed="false">
      <c r="A9" s="6" t="s">
        <v>11</v>
      </c>
      <c r="B9" s="7" t="n">
        <f aca="false">COUNTIF(WBS!M4:M140,"Snapshot*")</f>
        <v>11</v>
      </c>
      <c r="C9" s="6" t="s">
        <v>12</v>
      </c>
    </row>
    <row r="10" customFormat="false" ht="15" hidden="false" customHeight="false" outlineLevel="0" collapsed="false">
      <c r="A10" s="6" t="s">
        <v>13</v>
      </c>
      <c r="B10" s="7" t="n">
        <f aca="false">COUNTIF(WBS!M4:M140,"Sebagian")</f>
        <v>12</v>
      </c>
      <c r="C10" s="6" t="s">
        <v>14</v>
      </c>
    </row>
    <row r="11" customFormat="false" ht="15" hidden="false" customHeight="false" outlineLevel="0" collapsed="false">
      <c r="A11" s="6" t="s">
        <v>15</v>
      </c>
      <c r="B11" s="7" t="n">
        <f aca="false">COUNTIF(WBS!M4:M140,"Belum")</f>
        <v>102</v>
      </c>
      <c r="C11" s="6" t="s">
        <v>16</v>
      </c>
    </row>
    <row r="12" customFormat="false" ht="15" hidden="false" customHeight="false" outlineLevel="0" collapsed="false">
      <c r="A12" s="6" t="s">
        <v>17</v>
      </c>
      <c r="B12" s="8" t="n">
        <f aca="false">IFERROR((B8+B9)/B7,0)</f>
        <v>0.167883211678832</v>
      </c>
      <c r="C12" s="6" t="s">
        <v>18</v>
      </c>
    </row>
    <row r="13" customFormat="false" ht="15" hidden="false" customHeight="false" outlineLevel="0" collapsed="false">
      <c r="A13" s="6" t="s">
        <v>19</v>
      </c>
      <c r="B13" s="7" t="n">
        <f aca="false">COUNTIF('Agent Roster'!C4:C27,"AI agent*")</f>
        <v>22</v>
      </c>
      <c r="C13" s="6" t="s">
        <v>20</v>
      </c>
    </row>
    <row r="14" customFormat="false" ht="15" hidden="false" customHeight="false" outlineLevel="0" collapsed="false">
      <c r="A14" s="6" t="s">
        <v>21</v>
      </c>
      <c r="B14" s="7" t="n">
        <f aca="false">COUNTIF('Agent Roster'!C4:C27,"Manusia")</f>
        <v>2</v>
      </c>
      <c r="C14" s="6" t="s">
        <v>22</v>
      </c>
    </row>
    <row r="15" customFormat="false" ht="15" hidden="false" customHeight="false" outlineLevel="0" collapsed="false">
      <c r="A15" s="6" t="s">
        <v>23</v>
      </c>
      <c r="B15" s="9" t="n">
        <f aca="false">SUM('Agent Roster'!M4:M27)</f>
        <v>6.345</v>
      </c>
      <c r="C15" s="6" t="s">
        <v>24</v>
      </c>
    </row>
    <row r="16" customFormat="false" ht="15" hidden="false" customHeight="false" outlineLevel="0" collapsed="false">
      <c r="A16" s="6" t="s">
        <v>25</v>
      </c>
      <c r="B16" s="10" t="n">
        <f aca="false">SUM('Agent Roster'!N4:N27)</f>
        <v>636.8</v>
      </c>
      <c r="C16" s="6" t="s">
        <v>26</v>
      </c>
    </row>
    <row r="17" customFormat="false" ht="15" hidden="false" customHeight="false" outlineLevel="0" collapsed="false">
      <c r="A17" s="6" t="s">
        <v>27</v>
      </c>
      <c r="B17" s="11" t="n">
        <f aca="false">SUMIFS(WBS!P4:P140,WBS!M4:M140,"Belum")</f>
        <v>50.85</v>
      </c>
      <c r="C17" s="6" t="s">
        <v>28</v>
      </c>
    </row>
    <row r="18" customFormat="false" ht="15" hidden="false" customHeight="false" outlineLevel="0" collapsed="false">
      <c r="A18" s="6" t="s">
        <v>29</v>
      </c>
      <c r="B18" s="10" t="n">
        <f aca="false">SUMIFS(WBS!O4:O140,WBS!M4:M140,"Belum")</f>
        <v>138.6</v>
      </c>
      <c r="C18" s="6" t="s">
        <v>30</v>
      </c>
    </row>
    <row r="19" customFormat="false" ht="15" hidden="false" customHeight="false" outlineLevel="0" collapsed="false">
      <c r="A19" s="6" t="s">
        <v>31</v>
      </c>
      <c r="B19" s="7" t="n">
        <f aca="false">COUNTIF('Traceability AC'!F4:F47,"Test ada*")+COUNTIF('Traceability AC'!F4:F47,"Terbukti*")</f>
        <v>17</v>
      </c>
      <c r="C19" s="6" t="s">
        <v>32</v>
      </c>
    </row>
    <row r="20" customFormat="false" ht="15" hidden="false" customHeight="false" outlineLevel="0" collapsed="false">
      <c r="A20" s="6" t="s">
        <v>33</v>
      </c>
      <c r="B20" s="7" t="n">
        <f aca="false">COUNTIF('Traceability AC'!F4:F47,"Sebagian*")</f>
        <v>3</v>
      </c>
      <c r="C20" s="6" t="s">
        <v>34</v>
      </c>
    </row>
    <row r="22" customFormat="false" ht="18" hidden="false" customHeight="true" outlineLevel="0" collapsed="false">
      <c r="A22" s="12" t="s">
        <v>35</v>
      </c>
      <c r="B22" s="4"/>
      <c r="C22" s="4"/>
    </row>
    <row r="23" customFormat="false" ht="30" hidden="false" customHeight="true" outlineLevel="0" collapsed="false">
      <c r="A23" s="12" t="s">
        <v>36</v>
      </c>
      <c r="B23" s="4" t="s">
        <v>37</v>
      </c>
      <c r="C23" s="4"/>
    </row>
    <row r="24" customFormat="false" ht="30" hidden="false" customHeight="true" outlineLevel="0" collapsed="false">
      <c r="A24" s="12" t="s">
        <v>38</v>
      </c>
      <c r="B24" s="4" t="s">
        <v>39</v>
      </c>
      <c r="C24" s="4"/>
    </row>
    <row r="25" customFormat="false" ht="30" hidden="false" customHeight="true" outlineLevel="0" collapsed="false">
      <c r="A25" s="12" t="s">
        <v>40</v>
      </c>
      <c r="B25" s="4" t="s">
        <v>41</v>
      </c>
      <c r="C25" s="4"/>
    </row>
    <row r="26" customFormat="false" ht="30" hidden="false" customHeight="true" outlineLevel="0" collapsed="false">
      <c r="A26" s="12" t="s">
        <v>42</v>
      </c>
      <c r="B26" s="4" t="s">
        <v>43</v>
      </c>
      <c r="C26" s="4"/>
    </row>
    <row r="27" customFormat="false" ht="30" hidden="false" customHeight="true" outlineLevel="0" collapsed="false">
      <c r="A27" s="12" t="s">
        <v>44</v>
      </c>
      <c r="B27" s="4" t="s">
        <v>45</v>
      </c>
      <c r="C27" s="4"/>
    </row>
    <row r="28" customFormat="false" ht="30" hidden="false" customHeight="true" outlineLevel="0" collapsed="false">
      <c r="A28" s="12" t="s">
        <v>46</v>
      </c>
      <c r="B28" s="4" t="s">
        <v>47</v>
      </c>
      <c r="C28" s="4"/>
    </row>
    <row r="29" customFormat="false" ht="30" hidden="false" customHeight="true" outlineLevel="0" collapsed="false">
      <c r="A29" s="12" t="s">
        <v>48</v>
      </c>
      <c r="B29" s="4" t="s">
        <v>49</v>
      </c>
      <c r="C29" s="4"/>
    </row>
    <row r="30" customFormat="false" ht="30" hidden="false" customHeight="true" outlineLevel="0" collapsed="false">
      <c r="A30" s="12" t="s">
        <v>50</v>
      </c>
      <c r="B30" s="4" t="s">
        <v>51</v>
      </c>
      <c r="C30" s="4"/>
    </row>
  </sheetData>
  <mergeCells count="10">
    <mergeCell ref="A5:C5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B45"/>
    <pageSetUpPr fitToPage="tru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46"/>
    <col collapsed="false" customWidth="true" hidden="false" outlineLevel="0" max="6" min="6" style="0" width="52"/>
    <col collapsed="false" customWidth="true" hidden="false" outlineLevel="0" max="7" min="7" style="0" width="28"/>
    <col collapsed="false" customWidth="true" hidden="false" outlineLevel="0" max="9" min="8" style="0" width="26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4" min="13" style="0" width="12"/>
    <col collapsed="false" customWidth="true" hidden="false" outlineLevel="0" max="15" min="15" style="0" width="10"/>
  </cols>
  <sheetData>
    <row r="1" customFormat="false" ht="17.35" hidden="false" customHeight="false" outlineLevel="0" collapsed="false">
      <c r="A1" s="13" t="s">
        <v>36</v>
      </c>
    </row>
    <row r="2" customFormat="false" ht="15" hidden="false" customHeight="false" outlineLevel="0" collapsed="false">
      <c r="A2" s="2" t="s">
        <v>52</v>
      </c>
    </row>
    <row r="3" customFormat="false" ht="31.5" hidden="false" customHeight="true" outlineLevel="0" collapsed="false">
      <c r="A3" s="14" t="s">
        <v>53</v>
      </c>
      <c r="B3" s="14" t="s">
        <v>54</v>
      </c>
      <c r="C3" s="14" t="s">
        <v>55</v>
      </c>
      <c r="D3" s="14" t="s">
        <v>56</v>
      </c>
      <c r="E3" s="14" t="s">
        <v>57</v>
      </c>
      <c r="F3" s="14" t="s">
        <v>58</v>
      </c>
      <c r="G3" s="14" t="s">
        <v>59</v>
      </c>
      <c r="H3" s="14" t="s">
        <v>60</v>
      </c>
      <c r="I3" s="14" t="s">
        <v>61</v>
      </c>
      <c r="J3" s="14" t="s">
        <v>62</v>
      </c>
      <c r="K3" s="14" t="s">
        <v>63</v>
      </c>
      <c r="L3" s="14" t="s">
        <v>64</v>
      </c>
      <c r="M3" s="14" t="s">
        <v>65</v>
      </c>
      <c r="N3" s="14" t="s">
        <v>66</v>
      </c>
      <c r="O3" s="14" t="s">
        <v>67</v>
      </c>
    </row>
    <row r="4" customFormat="false" ht="57.45" hidden="false" customHeight="false" outlineLevel="0" collapsed="false">
      <c r="A4" s="15" t="s">
        <v>68</v>
      </c>
      <c r="B4" s="16" t="s">
        <v>69</v>
      </c>
      <c r="C4" s="16" t="s">
        <v>70</v>
      </c>
      <c r="D4" s="16" t="s">
        <v>71</v>
      </c>
      <c r="E4" s="16" t="s">
        <v>72</v>
      </c>
      <c r="F4" s="16" t="s">
        <v>73</v>
      </c>
      <c r="G4" s="16" t="s">
        <v>74</v>
      </c>
      <c r="H4" s="16" t="s">
        <v>75</v>
      </c>
      <c r="I4" s="16" t="s">
        <v>76</v>
      </c>
      <c r="J4" s="16" t="s">
        <v>77</v>
      </c>
      <c r="K4" s="15" t="s">
        <v>78</v>
      </c>
      <c r="L4" s="16" t="s">
        <v>79</v>
      </c>
      <c r="M4" s="17"/>
      <c r="N4" s="18"/>
      <c r="O4" s="19"/>
    </row>
    <row r="5" customFormat="false" ht="46.25" hidden="false" customHeight="false" outlineLevel="0" collapsed="false">
      <c r="A5" s="15" t="s">
        <v>80</v>
      </c>
      <c r="B5" s="16" t="s">
        <v>81</v>
      </c>
      <c r="C5" s="16" t="s">
        <v>82</v>
      </c>
      <c r="D5" s="16" t="s">
        <v>83</v>
      </c>
      <c r="E5" s="16" t="s">
        <v>84</v>
      </c>
      <c r="F5" s="16" t="s">
        <v>85</v>
      </c>
      <c r="G5" s="16" t="s">
        <v>86</v>
      </c>
      <c r="H5" s="16" t="s">
        <v>87</v>
      </c>
      <c r="I5" s="16" t="s">
        <v>88</v>
      </c>
      <c r="J5" s="16" t="s">
        <v>68</v>
      </c>
      <c r="K5" s="15" t="s">
        <v>89</v>
      </c>
      <c r="L5" s="16" t="s">
        <v>90</v>
      </c>
      <c r="M5" s="17" t="n">
        <v>0.446</v>
      </c>
      <c r="N5" s="18" t="n">
        <v>42.8</v>
      </c>
      <c r="O5" s="19" t="n">
        <v>164</v>
      </c>
    </row>
    <row r="6" customFormat="false" ht="35.05" hidden="false" customHeight="false" outlineLevel="0" collapsed="false">
      <c r="A6" s="15" t="s">
        <v>91</v>
      </c>
      <c r="B6" s="16" t="s">
        <v>92</v>
      </c>
      <c r="C6" s="16" t="s">
        <v>82</v>
      </c>
      <c r="D6" s="16" t="s">
        <v>93</v>
      </c>
      <c r="E6" s="16" t="s">
        <v>94</v>
      </c>
      <c r="F6" s="16" t="s">
        <v>95</v>
      </c>
      <c r="G6" s="16" t="s">
        <v>96</v>
      </c>
      <c r="H6" s="16" t="s">
        <v>97</v>
      </c>
      <c r="I6" s="16" t="s">
        <v>98</v>
      </c>
      <c r="J6" s="16" t="s">
        <v>99</v>
      </c>
      <c r="K6" s="15" t="s">
        <v>100</v>
      </c>
      <c r="L6" s="16" t="s">
        <v>90</v>
      </c>
      <c r="M6" s="17" t="n">
        <v>0.419</v>
      </c>
      <c r="N6" s="18" t="n">
        <v>44.4</v>
      </c>
      <c r="O6" s="19" t="n">
        <v>110</v>
      </c>
    </row>
    <row r="7" customFormat="false" ht="35.05" hidden="false" customHeight="false" outlineLevel="0" collapsed="false">
      <c r="A7" s="15" t="s">
        <v>101</v>
      </c>
      <c r="B7" s="16" t="s">
        <v>102</v>
      </c>
      <c r="C7" s="16" t="s">
        <v>82</v>
      </c>
      <c r="D7" s="16" t="s">
        <v>93</v>
      </c>
      <c r="E7" s="16" t="s">
        <v>103</v>
      </c>
      <c r="F7" s="16" t="s">
        <v>104</v>
      </c>
      <c r="G7" s="16" t="s">
        <v>105</v>
      </c>
      <c r="H7" s="16" t="s">
        <v>106</v>
      </c>
      <c r="I7" s="16" t="s">
        <v>107</v>
      </c>
      <c r="J7" s="16" t="s">
        <v>99</v>
      </c>
      <c r="K7" s="15" t="s">
        <v>108</v>
      </c>
      <c r="L7" s="16" t="s">
        <v>109</v>
      </c>
      <c r="M7" s="17" t="n">
        <v>0.346</v>
      </c>
      <c r="N7" s="18" t="n">
        <v>34.3</v>
      </c>
      <c r="O7" s="19" t="n">
        <v>102</v>
      </c>
    </row>
    <row r="8" customFormat="false" ht="35.05" hidden="false" customHeight="false" outlineLevel="0" collapsed="false">
      <c r="A8" s="15" t="s">
        <v>110</v>
      </c>
      <c r="B8" s="16" t="s">
        <v>111</v>
      </c>
      <c r="C8" s="16" t="s">
        <v>82</v>
      </c>
      <c r="D8" s="16" t="s">
        <v>93</v>
      </c>
      <c r="E8" s="16" t="s">
        <v>112</v>
      </c>
      <c r="F8" s="16" t="s">
        <v>113</v>
      </c>
      <c r="G8" s="16" t="s">
        <v>114</v>
      </c>
      <c r="H8" s="16" t="s">
        <v>115</v>
      </c>
      <c r="I8" s="16" t="s">
        <v>116</v>
      </c>
      <c r="J8" s="16" t="s">
        <v>68</v>
      </c>
      <c r="K8" s="15" t="s">
        <v>100</v>
      </c>
      <c r="L8" s="16" t="s">
        <v>90</v>
      </c>
      <c r="M8" s="17" t="n">
        <v>0.461</v>
      </c>
      <c r="N8" s="18" t="n">
        <v>55.8</v>
      </c>
      <c r="O8" s="19" t="n">
        <v>144</v>
      </c>
    </row>
    <row r="9" customFormat="false" ht="46.25" hidden="false" customHeight="false" outlineLevel="0" collapsed="false">
      <c r="A9" s="15" t="s">
        <v>117</v>
      </c>
      <c r="B9" s="16" t="s">
        <v>118</v>
      </c>
      <c r="C9" s="16" t="s">
        <v>82</v>
      </c>
      <c r="D9" s="16" t="s">
        <v>93</v>
      </c>
      <c r="E9" s="16" t="s">
        <v>119</v>
      </c>
      <c r="F9" s="16" t="s">
        <v>120</v>
      </c>
      <c r="G9" s="16" t="s">
        <v>114</v>
      </c>
      <c r="H9" s="16" t="s">
        <v>121</v>
      </c>
      <c r="I9" s="16" t="s">
        <v>122</v>
      </c>
      <c r="J9" s="16" t="s">
        <v>123</v>
      </c>
      <c r="K9" s="15" t="s">
        <v>100</v>
      </c>
      <c r="L9" s="16" t="s">
        <v>109</v>
      </c>
      <c r="M9" s="17" t="n">
        <v>0.433</v>
      </c>
      <c r="N9" s="18" t="n">
        <v>35.5</v>
      </c>
      <c r="O9" s="19" t="n">
        <v>60</v>
      </c>
    </row>
    <row r="10" customFormat="false" ht="35.05" hidden="false" customHeight="false" outlineLevel="0" collapsed="false">
      <c r="A10" s="15" t="s">
        <v>124</v>
      </c>
      <c r="B10" s="16" t="s">
        <v>125</v>
      </c>
      <c r="C10" s="16" t="s">
        <v>82</v>
      </c>
      <c r="D10" s="16" t="s">
        <v>93</v>
      </c>
      <c r="E10" s="16" t="s">
        <v>126</v>
      </c>
      <c r="F10" s="16" t="s">
        <v>127</v>
      </c>
      <c r="G10" s="16" t="s">
        <v>128</v>
      </c>
      <c r="H10" s="16" t="s">
        <v>129</v>
      </c>
      <c r="I10" s="16" t="s">
        <v>130</v>
      </c>
      <c r="J10" s="16" t="s">
        <v>99</v>
      </c>
      <c r="K10" s="15" t="s">
        <v>131</v>
      </c>
      <c r="L10" s="16" t="s">
        <v>90</v>
      </c>
      <c r="M10" s="17" t="n">
        <v>0.389</v>
      </c>
      <c r="N10" s="18" t="n">
        <v>50.1</v>
      </c>
      <c r="O10" s="19" t="n">
        <v>142</v>
      </c>
    </row>
    <row r="11" customFormat="false" ht="46.25" hidden="false" customHeight="false" outlineLevel="0" collapsed="false">
      <c r="A11" s="15" t="s">
        <v>132</v>
      </c>
      <c r="B11" s="16" t="s">
        <v>133</v>
      </c>
      <c r="C11" s="16" t="s">
        <v>82</v>
      </c>
      <c r="D11" s="16" t="s">
        <v>71</v>
      </c>
      <c r="E11" s="16" t="s">
        <v>134</v>
      </c>
      <c r="F11" s="16" t="s">
        <v>135</v>
      </c>
      <c r="G11" s="16" t="s">
        <v>136</v>
      </c>
      <c r="H11" s="16" t="s">
        <v>137</v>
      </c>
      <c r="I11" s="16" t="s">
        <v>138</v>
      </c>
      <c r="J11" s="16" t="s">
        <v>99</v>
      </c>
      <c r="K11" s="15" t="s">
        <v>139</v>
      </c>
      <c r="L11" s="16" t="s">
        <v>90</v>
      </c>
      <c r="M11" s="17" t="n">
        <v>0.734</v>
      </c>
      <c r="N11" s="18" t="n">
        <v>72.8</v>
      </c>
      <c r="O11" s="19" t="n">
        <v>203</v>
      </c>
    </row>
    <row r="12" customFormat="false" ht="57.45" hidden="false" customHeight="false" outlineLevel="0" collapsed="false">
      <c r="A12" s="15" t="s">
        <v>140</v>
      </c>
      <c r="B12" s="16" t="s">
        <v>141</v>
      </c>
      <c r="C12" s="16" t="s">
        <v>82</v>
      </c>
      <c r="D12" s="16" t="s">
        <v>71</v>
      </c>
      <c r="E12" s="16" t="s">
        <v>142</v>
      </c>
      <c r="F12" s="16" t="s">
        <v>143</v>
      </c>
      <c r="G12" s="16" t="s">
        <v>114</v>
      </c>
      <c r="H12" s="16" t="s">
        <v>144</v>
      </c>
      <c r="I12" s="16" t="s">
        <v>145</v>
      </c>
      <c r="J12" s="16" t="s">
        <v>99</v>
      </c>
      <c r="K12" s="15" t="s">
        <v>139</v>
      </c>
      <c r="L12" s="16" t="s">
        <v>90</v>
      </c>
      <c r="M12" s="17" t="n">
        <v>0.7</v>
      </c>
      <c r="N12" s="18" t="n">
        <v>70.2</v>
      </c>
      <c r="O12" s="19" t="n">
        <v>161</v>
      </c>
    </row>
    <row r="13" customFormat="false" ht="35.05" hidden="false" customHeight="false" outlineLevel="0" collapsed="false">
      <c r="A13" s="15" t="s">
        <v>146</v>
      </c>
      <c r="B13" s="16" t="s">
        <v>147</v>
      </c>
      <c r="C13" s="16" t="s">
        <v>82</v>
      </c>
      <c r="D13" s="16" t="s">
        <v>93</v>
      </c>
      <c r="E13" s="16" t="s">
        <v>148</v>
      </c>
      <c r="F13" s="16" t="s">
        <v>149</v>
      </c>
      <c r="G13" s="16" t="s">
        <v>114</v>
      </c>
      <c r="H13" s="16" t="s">
        <v>150</v>
      </c>
      <c r="I13" s="16" t="s">
        <v>151</v>
      </c>
      <c r="J13" s="16" t="s">
        <v>68</v>
      </c>
      <c r="K13" s="15" t="s">
        <v>139</v>
      </c>
      <c r="L13" s="16" t="s">
        <v>90</v>
      </c>
      <c r="M13" s="17" t="n">
        <v>0.594</v>
      </c>
      <c r="N13" s="18" t="n">
        <v>56.2</v>
      </c>
      <c r="O13" s="19" t="n">
        <v>161</v>
      </c>
    </row>
    <row r="14" customFormat="false" ht="35.05" hidden="false" customHeight="false" outlineLevel="0" collapsed="false">
      <c r="A14" s="15" t="s">
        <v>152</v>
      </c>
      <c r="B14" s="16" t="s">
        <v>153</v>
      </c>
      <c r="C14" s="16" t="s">
        <v>82</v>
      </c>
      <c r="D14" s="16" t="s">
        <v>93</v>
      </c>
      <c r="E14" s="16" t="s">
        <v>154</v>
      </c>
      <c r="F14" s="16" t="s">
        <v>155</v>
      </c>
      <c r="G14" s="16" t="s">
        <v>114</v>
      </c>
      <c r="H14" s="16" t="s">
        <v>156</v>
      </c>
      <c r="I14" s="16" t="s">
        <v>157</v>
      </c>
      <c r="J14" s="16" t="s">
        <v>68</v>
      </c>
      <c r="K14" s="15" t="s">
        <v>139</v>
      </c>
      <c r="L14" s="16" t="s">
        <v>90</v>
      </c>
      <c r="M14" s="17" t="n">
        <v>0.628</v>
      </c>
      <c r="N14" s="18" t="n">
        <v>76.2</v>
      </c>
      <c r="O14" s="19" t="n">
        <v>202</v>
      </c>
    </row>
    <row r="15" customFormat="false" ht="23.85" hidden="false" customHeight="false" outlineLevel="0" collapsed="false">
      <c r="A15" s="15" t="s">
        <v>158</v>
      </c>
      <c r="B15" s="16" t="s">
        <v>159</v>
      </c>
      <c r="C15" s="16" t="s">
        <v>82</v>
      </c>
      <c r="D15" s="16" t="s">
        <v>93</v>
      </c>
      <c r="E15" s="16" t="s">
        <v>160</v>
      </c>
      <c r="F15" s="16" t="s">
        <v>161</v>
      </c>
      <c r="G15" s="16" t="s">
        <v>114</v>
      </c>
      <c r="H15" s="16" t="s">
        <v>162</v>
      </c>
      <c r="I15" s="16" t="s">
        <v>163</v>
      </c>
      <c r="J15" s="16" t="s">
        <v>68</v>
      </c>
      <c r="K15" s="15" t="s">
        <v>139</v>
      </c>
      <c r="L15" s="16" t="s">
        <v>90</v>
      </c>
      <c r="M15" s="17" t="n">
        <v>0.453</v>
      </c>
      <c r="N15" s="18" t="n">
        <v>45.1</v>
      </c>
      <c r="O15" s="19" t="n">
        <v>150</v>
      </c>
    </row>
    <row r="16" customFormat="false" ht="35.05" hidden="false" customHeight="false" outlineLevel="0" collapsed="false">
      <c r="A16" s="15" t="s">
        <v>164</v>
      </c>
      <c r="B16" s="16" t="s">
        <v>165</v>
      </c>
      <c r="C16" s="16" t="s">
        <v>166</v>
      </c>
      <c r="D16" s="16" t="s">
        <v>71</v>
      </c>
      <c r="E16" s="16" t="s">
        <v>167</v>
      </c>
      <c r="F16" s="16" t="s">
        <v>168</v>
      </c>
      <c r="G16" s="16" t="s">
        <v>169</v>
      </c>
      <c r="H16" s="16" t="s">
        <v>170</v>
      </c>
      <c r="I16" s="16" t="s">
        <v>171</v>
      </c>
      <c r="J16" s="16" t="s">
        <v>123</v>
      </c>
      <c r="K16" s="15" t="s">
        <v>172</v>
      </c>
      <c r="L16" s="16" t="s">
        <v>173</v>
      </c>
      <c r="M16" s="17"/>
      <c r="N16" s="18"/>
      <c r="O16" s="19"/>
    </row>
    <row r="17" customFormat="false" ht="35.05" hidden="false" customHeight="false" outlineLevel="0" collapsed="false">
      <c r="A17" s="15" t="s">
        <v>174</v>
      </c>
      <c r="B17" s="16" t="s">
        <v>175</v>
      </c>
      <c r="C17" s="16" t="s">
        <v>166</v>
      </c>
      <c r="D17" s="16" t="s">
        <v>71</v>
      </c>
      <c r="E17" s="16" t="s">
        <v>176</v>
      </c>
      <c r="F17" s="16" t="s">
        <v>177</v>
      </c>
      <c r="G17" s="16" t="s">
        <v>178</v>
      </c>
      <c r="H17" s="16" t="s">
        <v>179</v>
      </c>
      <c r="I17" s="16" t="s">
        <v>180</v>
      </c>
      <c r="J17" s="16" t="s">
        <v>181</v>
      </c>
      <c r="K17" s="15" t="s">
        <v>182</v>
      </c>
      <c r="L17" s="16" t="s">
        <v>173</v>
      </c>
      <c r="M17" s="17"/>
      <c r="N17" s="18"/>
      <c r="O17" s="19"/>
    </row>
    <row r="18" customFormat="false" ht="23.85" hidden="false" customHeight="false" outlineLevel="0" collapsed="false">
      <c r="A18" s="15" t="s">
        <v>183</v>
      </c>
      <c r="B18" s="16" t="s">
        <v>184</v>
      </c>
      <c r="C18" s="16" t="s">
        <v>166</v>
      </c>
      <c r="D18" s="16" t="s">
        <v>93</v>
      </c>
      <c r="E18" s="16" t="s">
        <v>185</v>
      </c>
      <c r="F18" s="16" t="s">
        <v>186</v>
      </c>
      <c r="G18" s="16" t="s">
        <v>187</v>
      </c>
      <c r="H18" s="16" t="s">
        <v>188</v>
      </c>
      <c r="I18" s="16" t="s">
        <v>189</v>
      </c>
      <c r="J18" s="16" t="s">
        <v>190</v>
      </c>
      <c r="K18" s="15" t="s">
        <v>191</v>
      </c>
      <c r="L18" s="16" t="s">
        <v>173</v>
      </c>
      <c r="M18" s="17"/>
      <c r="N18" s="18"/>
      <c r="O18" s="19"/>
    </row>
    <row r="19" customFormat="false" ht="23.85" hidden="false" customHeight="false" outlineLevel="0" collapsed="false">
      <c r="A19" s="15" t="s">
        <v>192</v>
      </c>
      <c r="B19" s="16" t="s">
        <v>193</v>
      </c>
      <c r="C19" s="16" t="s">
        <v>166</v>
      </c>
      <c r="D19" s="16" t="s">
        <v>194</v>
      </c>
      <c r="E19" s="16" t="s">
        <v>195</v>
      </c>
      <c r="F19" s="16" t="s">
        <v>196</v>
      </c>
      <c r="G19" s="16" t="s">
        <v>114</v>
      </c>
      <c r="H19" s="16" t="s">
        <v>197</v>
      </c>
      <c r="I19" s="16" t="s">
        <v>198</v>
      </c>
      <c r="J19" s="16" t="s">
        <v>123</v>
      </c>
      <c r="K19" s="15" t="s">
        <v>199</v>
      </c>
      <c r="L19" s="16" t="s">
        <v>173</v>
      </c>
      <c r="M19" s="17"/>
      <c r="N19" s="18"/>
      <c r="O19" s="19"/>
    </row>
    <row r="20" customFormat="false" ht="23.85" hidden="false" customHeight="false" outlineLevel="0" collapsed="false">
      <c r="A20" s="15" t="s">
        <v>200</v>
      </c>
      <c r="B20" s="16" t="s">
        <v>201</v>
      </c>
      <c r="C20" s="16" t="s">
        <v>82</v>
      </c>
      <c r="D20" s="16" t="s">
        <v>71</v>
      </c>
      <c r="E20" s="16" t="s">
        <v>202</v>
      </c>
      <c r="F20" s="16" t="s">
        <v>203</v>
      </c>
      <c r="G20" s="16" t="s">
        <v>204</v>
      </c>
      <c r="H20" s="16" t="s">
        <v>205</v>
      </c>
      <c r="I20" s="16" t="s">
        <v>206</v>
      </c>
      <c r="J20" s="16" t="s">
        <v>68</v>
      </c>
      <c r="K20" s="15" t="s">
        <v>207</v>
      </c>
      <c r="L20" s="16" t="s">
        <v>109</v>
      </c>
      <c r="M20" s="17" t="n">
        <v>0.333</v>
      </c>
      <c r="N20" s="18" t="n">
        <v>8.7</v>
      </c>
      <c r="O20" s="19" t="n">
        <v>33</v>
      </c>
    </row>
    <row r="21" customFormat="false" ht="35.05" hidden="false" customHeight="false" outlineLevel="0" collapsed="false">
      <c r="A21" s="15" t="s">
        <v>208</v>
      </c>
      <c r="B21" s="16" t="s">
        <v>209</v>
      </c>
      <c r="C21" s="16" t="s">
        <v>82</v>
      </c>
      <c r="D21" s="16" t="s">
        <v>71</v>
      </c>
      <c r="E21" s="16" t="s">
        <v>210</v>
      </c>
      <c r="F21" s="16" t="s">
        <v>211</v>
      </c>
      <c r="G21" s="16" t="s">
        <v>212</v>
      </c>
      <c r="H21" s="16" t="s">
        <v>213</v>
      </c>
      <c r="I21" s="16" t="s">
        <v>214</v>
      </c>
      <c r="J21" s="16" t="s">
        <v>68</v>
      </c>
      <c r="K21" s="15" t="s">
        <v>215</v>
      </c>
      <c r="L21" s="16" t="s">
        <v>109</v>
      </c>
      <c r="M21" s="17" t="n">
        <v>0.409</v>
      </c>
      <c r="N21" s="18" t="n">
        <v>44.7</v>
      </c>
      <c r="O21" s="19" t="n">
        <v>65</v>
      </c>
    </row>
    <row r="22" customFormat="false" ht="35.05" hidden="false" customHeight="false" outlineLevel="0" collapsed="false">
      <c r="A22" s="15" t="s">
        <v>216</v>
      </c>
      <c r="B22" s="16" t="s">
        <v>217</v>
      </c>
      <c r="C22" s="16" t="s">
        <v>166</v>
      </c>
      <c r="D22" s="16" t="s">
        <v>71</v>
      </c>
      <c r="E22" s="16" t="s">
        <v>218</v>
      </c>
      <c r="F22" s="16" t="s">
        <v>219</v>
      </c>
      <c r="G22" s="16" t="s">
        <v>220</v>
      </c>
      <c r="H22" s="16" t="s">
        <v>221</v>
      </c>
      <c r="I22" s="16" t="s">
        <v>222</v>
      </c>
      <c r="J22" s="16" t="s">
        <v>99</v>
      </c>
      <c r="K22" s="15" t="s">
        <v>223</v>
      </c>
      <c r="L22" s="16" t="s">
        <v>173</v>
      </c>
      <c r="M22" s="17"/>
      <c r="N22" s="18"/>
      <c r="O22" s="19"/>
    </row>
    <row r="23" customFormat="false" ht="46.25" hidden="false" customHeight="false" outlineLevel="0" collapsed="false">
      <c r="A23" s="15" t="s">
        <v>224</v>
      </c>
      <c r="B23" s="16" t="s">
        <v>225</v>
      </c>
      <c r="C23" s="16" t="s">
        <v>166</v>
      </c>
      <c r="D23" s="16" t="s">
        <v>71</v>
      </c>
      <c r="E23" s="16" t="s">
        <v>226</v>
      </c>
      <c r="F23" s="16" t="s">
        <v>227</v>
      </c>
      <c r="G23" s="16" t="s">
        <v>114</v>
      </c>
      <c r="H23" s="16" t="s">
        <v>228</v>
      </c>
      <c r="I23" s="16" t="s">
        <v>229</v>
      </c>
      <c r="J23" s="16" t="s">
        <v>99</v>
      </c>
      <c r="K23" s="15" t="s">
        <v>230</v>
      </c>
      <c r="L23" s="16" t="s">
        <v>173</v>
      </c>
      <c r="M23" s="17"/>
      <c r="N23" s="18"/>
      <c r="O23" s="19"/>
    </row>
    <row r="24" customFormat="false" ht="23.85" hidden="false" customHeight="false" outlineLevel="0" collapsed="false">
      <c r="A24" s="15" t="s">
        <v>231</v>
      </c>
      <c r="B24" s="16" t="s">
        <v>232</v>
      </c>
      <c r="C24" s="16" t="s">
        <v>166</v>
      </c>
      <c r="D24" s="16" t="s">
        <v>93</v>
      </c>
      <c r="E24" s="16" t="s">
        <v>233</v>
      </c>
      <c r="F24" s="16" t="s">
        <v>234</v>
      </c>
      <c r="G24" s="16" t="s">
        <v>114</v>
      </c>
      <c r="H24" s="16" t="s">
        <v>235</v>
      </c>
      <c r="I24" s="16" t="s">
        <v>236</v>
      </c>
      <c r="J24" s="16" t="s">
        <v>237</v>
      </c>
      <c r="K24" s="15" t="s">
        <v>230</v>
      </c>
      <c r="L24" s="16" t="s">
        <v>173</v>
      </c>
      <c r="M24" s="17"/>
      <c r="N24" s="18"/>
      <c r="O24" s="19"/>
    </row>
    <row r="25" customFormat="false" ht="35.05" hidden="false" customHeight="false" outlineLevel="0" collapsed="false">
      <c r="A25" s="15" t="s">
        <v>238</v>
      </c>
      <c r="B25" s="16" t="s">
        <v>239</v>
      </c>
      <c r="C25" s="16" t="s">
        <v>166</v>
      </c>
      <c r="D25" s="16" t="s">
        <v>93</v>
      </c>
      <c r="E25" s="16" t="s">
        <v>240</v>
      </c>
      <c r="F25" s="16" t="s">
        <v>241</v>
      </c>
      <c r="G25" s="16" t="s">
        <v>242</v>
      </c>
      <c r="H25" s="16" t="s">
        <v>243</v>
      </c>
      <c r="I25" s="16" t="s">
        <v>244</v>
      </c>
      <c r="J25" s="16" t="s">
        <v>99</v>
      </c>
      <c r="K25" s="15" t="s">
        <v>245</v>
      </c>
      <c r="L25" s="16" t="s">
        <v>173</v>
      </c>
      <c r="M25" s="17"/>
      <c r="N25" s="18"/>
      <c r="O25" s="19"/>
    </row>
    <row r="26" customFormat="false" ht="46.25" hidden="false" customHeight="false" outlineLevel="0" collapsed="false">
      <c r="A26" s="15" t="s">
        <v>181</v>
      </c>
      <c r="B26" s="16" t="s">
        <v>246</v>
      </c>
      <c r="C26" s="16" t="s">
        <v>247</v>
      </c>
      <c r="D26" s="16" t="s">
        <v>248</v>
      </c>
      <c r="E26" s="16" t="s">
        <v>249</v>
      </c>
      <c r="F26" s="16" t="s">
        <v>248</v>
      </c>
      <c r="G26" s="16" t="s">
        <v>250</v>
      </c>
      <c r="H26" s="16" t="s">
        <v>251</v>
      </c>
      <c r="I26" s="16" t="s">
        <v>252</v>
      </c>
      <c r="J26" s="16" t="s">
        <v>248</v>
      </c>
      <c r="K26" s="15" t="s">
        <v>253</v>
      </c>
      <c r="L26" s="16" t="s">
        <v>79</v>
      </c>
      <c r="M26" s="17"/>
      <c r="N26" s="18"/>
      <c r="O26" s="19"/>
    </row>
    <row r="27" customFormat="false" ht="35.05" hidden="false" customHeight="false" outlineLevel="0" collapsed="false">
      <c r="A27" s="15" t="s">
        <v>254</v>
      </c>
      <c r="B27" s="16" t="s">
        <v>255</v>
      </c>
      <c r="C27" s="16" t="s">
        <v>247</v>
      </c>
      <c r="D27" s="16" t="s">
        <v>248</v>
      </c>
      <c r="E27" s="16" t="s">
        <v>256</v>
      </c>
      <c r="F27" s="16" t="s">
        <v>257</v>
      </c>
      <c r="G27" s="16" t="s">
        <v>258</v>
      </c>
      <c r="H27" s="16" t="s">
        <v>259</v>
      </c>
      <c r="I27" s="16" t="s">
        <v>260</v>
      </c>
      <c r="J27" s="16" t="s">
        <v>181</v>
      </c>
      <c r="K27" s="15" t="s">
        <v>261</v>
      </c>
      <c r="L27" s="16" t="s">
        <v>173</v>
      </c>
      <c r="M27" s="17"/>
      <c r="N27" s="18"/>
      <c r="O27" s="19"/>
    </row>
    <row r="28" customFormat="false" ht="15" hidden="false" customHeight="false" outlineLevel="0" collapsed="false">
      <c r="A28" s="3" t="s">
        <v>262</v>
      </c>
      <c r="M28" s="20" t="n">
        <f aca="false">SUM(M4:M27)</f>
        <v>6.345</v>
      </c>
      <c r="N28" s="21" t="n">
        <f aca="false">SUM(N4:N27)</f>
        <v>636.8</v>
      </c>
      <c r="O28" s="22" t="n">
        <f aca="false">SUM(O4:O27)</f>
        <v>1697</v>
      </c>
    </row>
    <row r="29" customFormat="false" ht="15" hidden="false" customHeight="false" outlineLevel="0" collapsed="false">
      <c r="A29" s="2" t="s">
        <v>263</v>
      </c>
    </row>
  </sheetData>
  <autoFilter ref="A3:O27"/>
  <conditionalFormatting sqref="L4:L27">
    <cfRule type="expression" priority="2" aboveAverage="0" equalAverage="0" bottom="0" percent="0" rank="0" text="" dxfId="6">
      <formula>LEFT(L4,7)="Selesai"</formula>
    </cfRule>
    <cfRule type="expression" priority="3" aboveAverage="0" equalAverage="0" bottom="0" percent="0" rank="0" text="" dxfId="7">
      <formula>LEFT(L4,8)="Snapshot"</formula>
    </cfRule>
    <cfRule type="expression" priority="4" aboveAverage="0" equalAverage="0" bottom="0" percent="0" rank="0" text="" dxfId="6">
      <formula>LEFT(L4,8)="Terbukti"</formula>
    </cfRule>
    <cfRule type="expression" priority="5" aboveAverage="0" equalAverage="0" bottom="0" percent="0" rank="0" text="" dxfId="7">
      <formula>LEFT(L4,4)="Test"</formula>
    </cfRule>
    <cfRule type="expression" priority="6" aboveAverage="0" equalAverage="0" bottom="0" percent="0" rank="0" text="" dxfId="8">
      <formula>LEFT(L4,8)="Sebagian"</formula>
    </cfRule>
    <cfRule type="expression" priority="7" aboveAverage="0" equalAverage="0" bottom="0" percent="0" rank="0" text="" dxfId="9">
      <formula>LEFT(L4,5)="Belum"</formula>
    </cfRule>
    <cfRule type="expression" priority="8" aboveAverage="0" equalAverage="0" bottom="0" percent="0" rank="0" text="" dxfId="10">
      <formula>LEFT(L4,5)="Aktif"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6B3A"/>
    <pageSetUpPr fitToPage="true"/>
  </sheetPr>
  <dimension ref="A1:S14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9"/>
    <col collapsed="false" customWidth="true" hidden="false" outlineLevel="0" max="13" min="13" style="0" width="18"/>
    <col collapsed="false" customWidth="true" hidden="false" outlineLevel="0" max="14" min="14" style="0" width="34"/>
    <col collapsed="false" customWidth="true" hidden="false" outlineLevel="0" max="18" min="15" style="0" width="11"/>
    <col collapsed="false" customWidth="true" hidden="false" outlineLevel="0" max="19" min="19" style="0" width="28"/>
  </cols>
  <sheetData>
    <row r="1" customFormat="false" ht="17.35" hidden="false" customHeight="false" outlineLevel="0" collapsed="false">
      <c r="A1" s="13" t="s">
        <v>38</v>
      </c>
    </row>
    <row r="2" customFormat="false" ht="15" hidden="false" customHeight="false" outlineLevel="0" collapsed="false">
      <c r="A2" s="2" t="s">
        <v>264</v>
      </c>
    </row>
    <row r="3" customFormat="false" ht="31.5" hidden="false" customHeight="true" outlineLevel="0" collapsed="false">
      <c r="A3" s="14" t="s">
        <v>265</v>
      </c>
      <c r="B3" s="14" t="s">
        <v>266</v>
      </c>
      <c r="C3" s="14" t="s">
        <v>267</v>
      </c>
      <c r="D3" s="14" t="s">
        <v>268</v>
      </c>
      <c r="E3" s="14" t="s">
        <v>269</v>
      </c>
      <c r="F3" s="14" t="s">
        <v>270</v>
      </c>
      <c r="G3" s="14" t="s">
        <v>271</v>
      </c>
      <c r="H3" s="14" t="s">
        <v>272</v>
      </c>
      <c r="I3" s="14" t="s">
        <v>273</v>
      </c>
      <c r="J3" s="14" t="s">
        <v>274</v>
      </c>
      <c r="K3" s="14" t="s">
        <v>275</v>
      </c>
      <c r="L3" s="14" t="s">
        <v>276</v>
      </c>
      <c r="M3" s="14" t="s">
        <v>64</v>
      </c>
      <c r="N3" s="14" t="s">
        <v>277</v>
      </c>
      <c r="O3" s="14" t="s">
        <v>278</v>
      </c>
      <c r="P3" s="14" t="s">
        <v>279</v>
      </c>
      <c r="Q3" s="14" t="s">
        <v>65</v>
      </c>
      <c r="R3" s="14" t="s">
        <v>66</v>
      </c>
      <c r="S3" s="14" t="s">
        <v>280</v>
      </c>
    </row>
    <row r="4" customFormat="false" ht="35.05" hidden="false" customHeight="false" outlineLevel="0" collapsed="false">
      <c r="A4" s="15" t="s">
        <v>281</v>
      </c>
      <c r="B4" s="16" t="s">
        <v>282</v>
      </c>
      <c r="C4" s="15" t="s">
        <v>283</v>
      </c>
      <c r="D4" s="16" t="s">
        <v>284</v>
      </c>
      <c r="E4" s="16" t="s">
        <v>285</v>
      </c>
      <c r="F4" s="16" t="s">
        <v>286</v>
      </c>
      <c r="G4" s="16" t="s">
        <v>68</v>
      </c>
      <c r="H4" s="16" t="s">
        <v>181</v>
      </c>
      <c r="I4" s="16" t="s">
        <v>248</v>
      </c>
      <c r="J4" s="16" t="s">
        <v>248</v>
      </c>
      <c r="K4" s="16" t="s">
        <v>248</v>
      </c>
      <c r="L4" s="15" t="s">
        <v>287</v>
      </c>
      <c r="M4" s="16" t="s">
        <v>109</v>
      </c>
      <c r="N4" s="16" t="s">
        <v>288</v>
      </c>
      <c r="O4" s="23" t="n">
        <v>0.5</v>
      </c>
      <c r="P4" s="24" t="n">
        <v>0.1</v>
      </c>
      <c r="Q4" s="17"/>
      <c r="R4" s="18"/>
      <c r="S4" s="16"/>
    </row>
    <row r="5" customFormat="false" ht="46.25" hidden="false" customHeight="false" outlineLevel="0" collapsed="false">
      <c r="A5" s="15" t="s">
        <v>289</v>
      </c>
      <c r="B5" s="16" t="s">
        <v>282</v>
      </c>
      <c r="C5" s="15" t="s">
        <v>283</v>
      </c>
      <c r="D5" s="16" t="s">
        <v>284</v>
      </c>
      <c r="E5" s="16" t="s">
        <v>290</v>
      </c>
      <c r="F5" s="16" t="s">
        <v>291</v>
      </c>
      <c r="G5" s="16" t="s">
        <v>68</v>
      </c>
      <c r="H5" s="16" t="s">
        <v>181</v>
      </c>
      <c r="I5" s="16" t="s">
        <v>281</v>
      </c>
      <c r="J5" s="16" t="s">
        <v>284</v>
      </c>
      <c r="K5" s="16" t="s">
        <v>284</v>
      </c>
      <c r="L5" s="15" t="s">
        <v>287</v>
      </c>
      <c r="M5" s="16" t="s">
        <v>109</v>
      </c>
      <c r="N5" s="16" t="s">
        <v>292</v>
      </c>
      <c r="O5" s="23" t="n">
        <v>1</v>
      </c>
      <c r="P5" s="24" t="n">
        <v>0.15</v>
      </c>
      <c r="Q5" s="17"/>
      <c r="R5" s="18"/>
      <c r="S5" s="16"/>
    </row>
    <row r="6" customFormat="false" ht="23.85" hidden="false" customHeight="false" outlineLevel="0" collapsed="false">
      <c r="A6" s="15" t="s">
        <v>293</v>
      </c>
      <c r="B6" s="16" t="s">
        <v>282</v>
      </c>
      <c r="C6" s="15" t="s">
        <v>283</v>
      </c>
      <c r="D6" s="16" t="s">
        <v>284</v>
      </c>
      <c r="E6" s="16" t="s">
        <v>294</v>
      </c>
      <c r="F6" s="16" t="s">
        <v>295</v>
      </c>
      <c r="G6" s="16" t="s">
        <v>68</v>
      </c>
      <c r="H6" s="16" t="s">
        <v>181</v>
      </c>
      <c r="I6" s="16" t="s">
        <v>289</v>
      </c>
      <c r="J6" s="16" t="s">
        <v>284</v>
      </c>
      <c r="K6" s="16" t="s">
        <v>296</v>
      </c>
      <c r="L6" s="15" t="s">
        <v>287</v>
      </c>
      <c r="M6" s="16" t="s">
        <v>109</v>
      </c>
      <c r="N6" s="16" t="s">
        <v>297</v>
      </c>
      <c r="O6" s="23" t="n">
        <v>0.5</v>
      </c>
      <c r="P6" s="24" t="n">
        <v>0.05</v>
      </c>
      <c r="Q6" s="17"/>
      <c r="R6" s="18"/>
      <c r="S6" s="16"/>
    </row>
    <row r="7" customFormat="false" ht="23.85" hidden="false" customHeight="false" outlineLevel="0" collapsed="false">
      <c r="A7" s="15" t="s">
        <v>298</v>
      </c>
      <c r="B7" s="16" t="s">
        <v>282</v>
      </c>
      <c r="C7" s="15" t="s">
        <v>283</v>
      </c>
      <c r="D7" s="16" t="s">
        <v>284</v>
      </c>
      <c r="E7" s="16" t="s">
        <v>299</v>
      </c>
      <c r="F7" s="16" t="s">
        <v>300</v>
      </c>
      <c r="G7" s="16" t="s">
        <v>68</v>
      </c>
      <c r="H7" s="16" t="s">
        <v>181</v>
      </c>
      <c r="I7" s="16" t="s">
        <v>289</v>
      </c>
      <c r="J7" s="16" t="s">
        <v>284</v>
      </c>
      <c r="K7" s="16" t="s">
        <v>301</v>
      </c>
      <c r="L7" s="15" t="s">
        <v>287</v>
      </c>
      <c r="M7" s="16" t="s">
        <v>109</v>
      </c>
      <c r="N7" s="16" t="s">
        <v>302</v>
      </c>
      <c r="O7" s="23" t="n">
        <v>0.75</v>
      </c>
      <c r="P7" s="24" t="n">
        <v>0.08</v>
      </c>
      <c r="Q7" s="17"/>
      <c r="R7" s="18"/>
      <c r="S7" s="16"/>
    </row>
    <row r="8" customFormat="false" ht="23.85" hidden="false" customHeight="false" outlineLevel="0" collapsed="false">
      <c r="A8" s="15" t="s">
        <v>303</v>
      </c>
      <c r="B8" s="16" t="s">
        <v>282</v>
      </c>
      <c r="C8" s="15" t="s">
        <v>283</v>
      </c>
      <c r="D8" s="16" t="s">
        <v>284</v>
      </c>
      <c r="E8" s="16" t="s">
        <v>304</v>
      </c>
      <c r="F8" s="16" t="s">
        <v>305</v>
      </c>
      <c r="G8" s="16" t="s">
        <v>68</v>
      </c>
      <c r="H8" s="16" t="s">
        <v>306</v>
      </c>
      <c r="I8" s="16" t="s">
        <v>281</v>
      </c>
      <c r="J8" s="16" t="s">
        <v>248</v>
      </c>
      <c r="K8" s="16" t="s">
        <v>248</v>
      </c>
      <c r="L8" s="15" t="s">
        <v>287</v>
      </c>
      <c r="M8" s="16" t="s">
        <v>307</v>
      </c>
      <c r="N8" s="16" t="s">
        <v>308</v>
      </c>
      <c r="O8" s="23" t="n">
        <v>0.5</v>
      </c>
      <c r="P8" s="24" t="n">
        <v>0.05</v>
      </c>
      <c r="Q8" s="17"/>
      <c r="R8" s="18"/>
      <c r="S8" s="16" t="s">
        <v>309</v>
      </c>
    </row>
    <row r="9" customFormat="false" ht="35.05" hidden="false" customHeight="false" outlineLevel="0" collapsed="false">
      <c r="A9" s="15" t="s">
        <v>310</v>
      </c>
      <c r="B9" s="16" t="s">
        <v>282</v>
      </c>
      <c r="C9" s="15" t="s">
        <v>283</v>
      </c>
      <c r="D9" s="16" t="s">
        <v>311</v>
      </c>
      <c r="E9" s="16" t="s">
        <v>312</v>
      </c>
      <c r="F9" s="16" t="s">
        <v>313</v>
      </c>
      <c r="G9" s="16" t="s">
        <v>68</v>
      </c>
      <c r="H9" s="16" t="s">
        <v>174</v>
      </c>
      <c r="I9" s="16" t="s">
        <v>289</v>
      </c>
      <c r="J9" s="16" t="s">
        <v>314</v>
      </c>
      <c r="K9" s="16" t="s">
        <v>315</v>
      </c>
      <c r="L9" s="15" t="s">
        <v>287</v>
      </c>
      <c r="M9" s="16" t="s">
        <v>109</v>
      </c>
      <c r="N9" s="16" t="s">
        <v>316</v>
      </c>
      <c r="O9" s="23" t="n">
        <v>0.75</v>
      </c>
      <c r="P9" s="24" t="n">
        <v>0.06</v>
      </c>
      <c r="Q9" s="17"/>
      <c r="R9" s="18"/>
      <c r="S9" s="16"/>
    </row>
    <row r="10" customFormat="false" ht="46.25" hidden="false" customHeight="false" outlineLevel="0" collapsed="false">
      <c r="A10" s="15" t="s">
        <v>317</v>
      </c>
      <c r="B10" s="16" t="s">
        <v>282</v>
      </c>
      <c r="C10" s="15" t="s">
        <v>100</v>
      </c>
      <c r="D10" s="16" t="s">
        <v>284</v>
      </c>
      <c r="E10" s="16" t="s">
        <v>318</v>
      </c>
      <c r="F10" s="16" t="s">
        <v>319</v>
      </c>
      <c r="G10" s="16" t="s">
        <v>117</v>
      </c>
      <c r="H10" s="16" t="s">
        <v>123</v>
      </c>
      <c r="I10" s="16" t="s">
        <v>320</v>
      </c>
      <c r="J10" s="16" t="s">
        <v>321</v>
      </c>
      <c r="K10" s="16" t="s">
        <v>322</v>
      </c>
      <c r="L10" s="15" t="s">
        <v>287</v>
      </c>
      <c r="M10" s="16" t="s">
        <v>307</v>
      </c>
      <c r="N10" s="16" t="s">
        <v>323</v>
      </c>
      <c r="O10" s="23" t="n">
        <v>0.6</v>
      </c>
      <c r="P10" s="24" t="n">
        <v>0.43</v>
      </c>
      <c r="Q10" s="17" t="n">
        <v>0.433</v>
      </c>
      <c r="R10" s="18" t="n">
        <v>35.5</v>
      </c>
      <c r="S10" s="16" t="s">
        <v>324</v>
      </c>
    </row>
    <row r="11" customFormat="false" ht="46.25" hidden="false" customHeight="false" outlineLevel="0" collapsed="false">
      <c r="A11" s="15" t="s">
        <v>325</v>
      </c>
      <c r="B11" s="16" t="s">
        <v>282</v>
      </c>
      <c r="C11" s="15" t="s">
        <v>207</v>
      </c>
      <c r="D11" s="16" t="s">
        <v>284</v>
      </c>
      <c r="E11" s="16" t="s">
        <v>326</v>
      </c>
      <c r="F11" s="16" t="s">
        <v>327</v>
      </c>
      <c r="G11" s="16" t="s">
        <v>68</v>
      </c>
      <c r="H11" s="16" t="s">
        <v>328</v>
      </c>
      <c r="I11" s="16" t="s">
        <v>329</v>
      </c>
      <c r="J11" s="16" t="s">
        <v>248</v>
      </c>
      <c r="K11" s="16" t="s">
        <v>248</v>
      </c>
      <c r="L11" s="15" t="s">
        <v>287</v>
      </c>
      <c r="M11" s="16" t="s">
        <v>109</v>
      </c>
      <c r="N11" s="16" t="s">
        <v>330</v>
      </c>
      <c r="O11" s="23" t="n">
        <v>0.5</v>
      </c>
      <c r="P11" s="24" t="n">
        <v>0.05</v>
      </c>
      <c r="Q11" s="17"/>
      <c r="R11" s="18"/>
      <c r="S11" s="16"/>
    </row>
    <row r="12" customFormat="false" ht="23.85" hidden="false" customHeight="false" outlineLevel="0" collapsed="false">
      <c r="A12" s="15" t="s">
        <v>331</v>
      </c>
      <c r="B12" s="16" t="s">
        <v>282</v>
      </c>
      <c r="C12" s="15" t="s">
        <v>207</v>
      </c>
      <c r="D12" s="16" t="s">
        <v>284</v>
      </c>
      <c r="E12" s="16" t="s">
        <v>332</v>
      </c>
      <c r="F12" s="16" t="s">
        <v>333</v>
      </c>
      <c r="G12" s="16" t="s">
        <v>68</v>
      </c>
      <c r="H12" s="16" t="s">
        <v>200</v>
      </c>
      <c r="I12" s="16" t="s">
        <v>298</v>
      </c>
      <c r="J12" s="16" t="s">
        <v>334</v>
      </c>
      <c r="K12" s="16" t="s">
        <v>335</v>
      </c>
      <c r="L12" s="15" t="s">
        <v>287</v>
      </c>
      <c r="M12" s="16" t="s">
        <v>109</v>
      </c>
      <c r="N12" s="16" t="s">
        <v>336</v>
      </c>
      <c r="O12" s="23" t="n">
        <v>0.2</v>
      </c>
      <c r="P12" s="24" t="n">
        <v>0.02</v>
      </c>
      <c r="Q12" s="17"/>
      <c r="R12" s="18"/>
      <c r="S12" s="16" t="s">
        <v>337</v>
      </c>
    </row>
    <row r="13" customFormat="false" ht="23.85" hidden="false" customHeight="false" outlineLevel="0" collapsed="false">
      <c r="A13" s="15" t="s">
        <v>338</v>
      </c>
      <c r="B13" s="16" t="s">
        <v>282</v>
      </c>
      <c r="C13" s="15" t="s">
        <v>207</v>
      </c>
      <c r="D13" s="16" t="s">
        <v>284</v>
      </c>
      <c r="E13" s="16" t="s">
        <v>339</v>
      </c>
      <c r="F13" s="16" t="s">
        <v>340</v>
      </c>
      <c r="G13" s="16" t="s">
        <v>200</v>
      </c>
      <c r="H13" s="16" t="s">
        <v>68</v>
      </c>
      <c r="I13" s="16" t="s">
        <v>341</v>
      </c>
      <c r="J13" s="16" t="s">
        <v>248</v>
      </c>
      <c r="K13" s="16" t="s">
        <v>248</v>
      </c>
      <c r="L13" s="15" t="s">
        <v>287</v>
      </c>
      <c r="M13" s="16" t="s">
        <v>109</v>
      </c>
      <c r="N13" s="16" t="s">
        <v>342</v>
      </c>
      <c r="O13" s="23" t="n">
        <v>0.2</v>
      </c>
      <c r="P13" s="24" t="n">
        <v>0.33</v>
      </c>
      <c r="Q13" s="17" t="n">
        <v>0.333</v>
      </c>
      <c r="R13" s="18" t="n">
        <v>8.7</v>
      </c>
      <c r="S13" s="16"/>
    </row>
    <row r="14" customFormat="false" ht="23.85" hidden="false" customHeight="false" outlineLevel="0" collapsed="false">
      <c r="A14" s="15" t="s">
        <v>343</v>
      </c>
      <c r="B14" s="16" t="s">
        <v>282</v>
      </c>
      <c r="C14" s="15" t="s">
        <v>215</v>
      </c>
      <c r="D14" s="16" t="s">
        <v>284</v>
      </c>
      <c r="E14" s="16" t="s">
        <v>344</v>
      </c>
      <c r="F14" s="16" t="s">
        <v>345</v>
      </c>
      <c r="G14" s="16" t="s">
        <v>181</v>
      </c>
      <c r="H14" s="16" t="s">
        <v>248</v>
      </c>
      <c r="I14" s="16" t="s">
        <v>346</v>
      </c>
      <c r="J14" s="16" t="s">
        <v>321</v>
      </c>
      <c r="K14" s="16" t="s">
        <v>248</v>
      </c>
      <c r="L14" s="15" t="s">
        <v>287</v>
      </c>
      <c r="M14" s="16" t="s">
        <v>347</v>
      </c>
      <c r="N14" s="16" t="s">
        <v>248</v>
      </c>
      <c r="O14" s="23" t="n">
        <v>2</v>
      </c>
      <c r="P14" s="24" t="n">
        <v>0</v>
      </c>
      <c r="Q14" s="17"/>
      <c r="R14" s="18"/>
      <c r="S14" s="16" t="s">
        <v>348</v>
      </c>
    </row>
    <row r="15" customFormat="false" ht="35.05" hidden="false" customHeight="false" outlineLevel="0" collapsed="false">
      <c r="A15" s="15" t="s">
        <v>349</v>
      </c>
      <c r="B15" s="16" t="s">
        <v>350</v>
      </c>
      <c r="C15" s="15" t="s">
        <v>100</v>
      </c>
      <c r="D15" s="16" t="s">
        <v>351</v>
      </c>
      <c r="E15" s="16" t="s">
        <v>352</v>
      </c>
      <c r="F15" s="16" t="s">
        <v>353</v>
      </c>
      <c r="G15" s="16" t="s">
        <v>80</v>
      </c>
      <c r="H15" s="16" t="s">
        <v>68</v>
      </c>
      <c r="I15" s="16" t="s">
        <v>320</v>
      </c>
      <c r="J15" s="16" t="s">
        <v>354</v>
      </c>
      <c r="K15" s="16" t="s">
        <v>355</v>
      </c>
      <c r="L15" s="15" t="s">
        <v>287</v>
      </c>
      <c r="M15" s="16" t="s">
        <v>356</v>
      </c>
      <c r="N15" s="16" t="s">
        <v>357</v>
      </c>
      <c r="O15" s="23" t="n">
        <v>1</v>
      </c>
      <c r="P15" s="24" t="n">
        <v>0.45</v>
      </c>
      <c r="Q15" s="17" t="n">
        <v>0.446</v>
      </c>
      <c r="R15" s="18" t="n">
        <v>42.8</v>
      </c>
      <c r="S15" s="16"/>
    </row>
    <row r="16" customFormat="false" ht="23.85" hidden="false" customHeight="false" outlineLevel="0" collapsed="false">
      <c r="A16" s="15" t="s">
        <v>358</v>
      </c>
      <c r="B16" s="16" t="s">
        <v>350</v>
      </c>
      <c r="C16" s="15" t="s">
        <v>100</v>
      </c>
      <c r="D16" s="16" t="s">
        <v>359</v>
      </c>
      <c r="E16" s="16" t="s">
        <v>92</v>
      </c>
      <c r="F16" s="16" t="s">
        <v>360</v>
      </c>
      <c r="G16" s="16" t="s">
        <v>91</v>
      </c>
      <c r="H16" s="16" t="s">
        <v>99</v>
      </c>
      <c r="I16" s="16" t="s">
        <v>289</v>
      </c>
      <c r="J16" s="16" t="s">
        <v>361</v>
      </c>
      <c r="K16" s="16" t="s">
        <v>362</v>
      </c>
      <c r="L16" s="15" t="s">
        <v>287</v>
      </c>
      <c r="M16" s="16" t="s">
        <v>356</v>
      </c>
      <c r="N16" s="16" t="s">
        <v>363</v>
      </c>
      <c r="O16" s="23" t="n">
        <v>1</v>
      </c>
      <c r="P16" s="24" t="n">
        <v>0.42</v>
      </c>
      <c r="Q16" s="17" t="n">
        <v>0.419</v>
      </c>
      <c r="R16" s="18" t="n">
        <v>44.4</v>
      </c>
      <c r="S16" s="16" t="s">
        <v>364</v>
      </c>
    </row>
    <row r="17" customFormat="false" ht="23.85" hidden="false" customHeight="false" outlineLevel="0" collapsed="false">
      <c r="A17" s="15" t="s">
        <v>365</v>
      </c>
      <c r="B17" s="16" t="s">
        <v>350</v>
      </c>
      <c r="C17" s="15" t="s">
        <v>100</v>
      </c>
      <c r="D17" s="16" t="s">
        <v>366</v>
      </c>
      <c r="E17" s="16" t="s">
        <v>367</v>
      </c>
      <c r="F17" s="16" t="s">
        <v>368</v>
      </c>
      <c r="G17" s="16" t="s">
        <v>101</v>
      </c>
      <c r="H17" s="16" t="s">
        <v>99</v>
      </c>
      <c r="I17" s="16" t="s">
        <v>369</v>
      </c>
      <c r="J17" s="16" t="s">
        <v>370</v>
      </c>
      <c r="K17" s="16" t="s">
        <v>371</v>
      </c>
      <c r="L17" s="15" t="s">
        <v>287</v>
      </c>
      <c r="M17" s="16" t="s">
        <v>307</v>
      </c>
      <c r="N17" s="16" t="s">
        <v>372</v>
      </c>
      <c r="O17" s="23" t="n">
        <v>0.8</v>
      </c>
      <c r="P17" s="24" t="n">
        <v>0.35</v>
      </c>
      <c r="Q17" s="17" t="n">
        <v>0.346</v>
      </c>
      <c r="R17" s="18" t="n">
        <v>34.3</v>
      </c>
      <c r="S17" s="16" t="s">
        <v>373</v>
      </c>
    </row>
    <row r="18" customFormat="false" ht="23.85" hidden="false" customHeight="false" outlineLevel="0" collapsed="false">
      <c r="A18" s="15" t="s">
        <v>374</v>
      </c>
      <c r="B18" s="16" t="s">
        <v>350</v>
      </c>
      <c r="C18" s="15" t="s">
        <v>100</v>
      </c>
      <c r="D18" s="16" t="s">
        <v>375</v>
      </c>
      <c r="E18" s="16" t="s">
        <v>376</v>
      </c>
      <c r="F18" s="16" t="s">
        <v>377</v>
      </c>
      <c r="G18" s="16" t="s">
        <v>110</v>
      </c>
      <c r="H18" s="16" t="s">
        <v>68</v>
      </c>
      <c r="I18" s="16" t="s">
        <v>298</v>
      </c>
      <c r="J18" s="16" t="s">
        <v>378</v>
      </c>
      <c r="K18" s="16" t="s">
        <v>379</v>
      </c>
      <c r="L18" s="15" t="s">
        <v>287</v>
      </c>
      <c r="M18" s="16" t="s">
        <v>356</v>
      </c>
      <c r="N18" s="16" t="s">
        <v>380</v>
      </c>
      <c r="O18" s="23" t="n">
        <v>1</v>
      </c>
      <c r="P18" s="24" t="n">
        <v>0.46</v>
      </c>
      <c r="Q18" s="17" t="n">
        <v>0.461</v>
      </c>
      <c r="R18" s="18" t="n">
        <v>55.8</v>
      </c>
      <c r="S18" s="16"/>
    </row>
    <row r="19" customFormat="false" ht="35.05" hidden="false" customHeight="false" outlineLevel="0" collapsed="false">
      <c r="A19" s="15" t="s">
        <v>381</v>
      </c>
      <c r="B19" s="16" t="s">
        <v>350</v>
      </c>
      <c r="C19" s="15" t="s">
        <v>100</v>
      </c>
      <c r="D19" s="16" t="s">
        <v>382</v>
      </c>
      <c r="E19" s="16" t="s">
        <v>383</v>
      </c>
      <c r="F19" s="16" t="s">
        <v>384</v>
      </c>
      <c r="G19" s="16" t="s">
        <v>124</v>
      </c>
      <c r="H19" s="16" t="s">
        <v>99</v>
      </c>
      <c r="I19" s="16" t="s">
        <v>289</v>
      </c>
      <c r="J19" s="16" t="s">
        <v>385</v>
      </c>
      <c r="K19" s="16" t="s">
        <v>386</v>
      </c>
      <c r="L19" s="15" t="s">
        <v>287</v>
      </c>
      <c r="M19" s="16" t="s">
        <v>356</v>
      </c>
      <c r="N19" s="16" t="s">
        <v>387</v>
      </c>
      <c r="O19" s="23" t="n">
        <v>0.9</v>
      </c>
      <c r="P19" s="24" t="n">
        <v>0.39</v>
      </c>
      <c r="Q19" s="17" t="n">
        <v>0.389</v>
      </c>
      <c r="R19" s="18" t="n">
        <v>50.1</v>
      </c>
      <c r="S19" s="16"/>
    </row>
    <row r="20" customFormat="false" ht="23.85" hidden="false" customHeight="false" outlineLevel="0" collapsed="false">
      <c r="A20" s="15" t="s">
        <v>388</v>
      </c>
      <c r="B20" s="16" t="s">
        <v>350</v>
      </c>
      <c r="C20" s="15" t="s">
        <v>215</v>
      </c>
      <c r="D20" s="16" t="s">
        <v>382</v>
      </c>
      <c r="E20" s="16" t="s">
        <v>389</v>
      </c>
      <c r="F20" s="16" t="s">
        <v>390</v>
      </c>
      <c r="G20" s="16" t="s">
        <v>164</v>
      </c>
      <c r="H20" s="16" t="s">
        <v>391</v>
      </c>
      <c r="I20" s="16" t="s">
        <v>392</v>
      </c>
      <c r="J20" s="16" t="s">
        <v>393</v>
      </c>
      <c r="K20" s="16" t="s">
        <v>386</v>
      </c>
      <c r="L20" s="15" t="s">
        <v>287</v>
      </c>
      <c r="M20" s="16" t="s">
        <v>347</v>
      </c>
      <c r="N20" s="16" t="s">
        <v>248</v>
      </c>
      <c r="O20" s="23" t="n">
        <v>1</v>
      </c>
      <c r="P20" s="24" t="n">
        <v>0.3</v>
      </c>
      <c r="Q20" s="17"/>
      <c r="R20" s="18"/>
      <c r="S20" s="16" t="s">
        <v>394</v>
      </c>
    </row>
    <row r="21" customFormat="false" ht="23.85" hidden="false" customHeight="false" outlineLevel="0" collapsed="false">
      <c r="A21" s="15" t="s">
        <v>395</v>
      </c>
      <c r="B21" s="16" t="s">
        <v>396</v>
      </c>
      <c r="C21" s="15" t="s">
        <v>207</v>
      </c>
      <c r="D21" s="16" t="s">
        <v>397</v>
      </c>
      <c r="E21" s="16" t="s">
        <v>398</v>
      </c>
      <c r="F21" s="16" t="s">
        <v>399</v>
      </c>
      <c r="G21" s="16" t="s">
        <v>146</v>
      </c>
      <c r="H21" s="16" t="s">
        <v>68</v>
      </c>
      <c r="I21" s="16" t="s">
        <v>400</v>
      </c>
      <c r="J21" s="16" t="s">
        <v>401</v>
      </c>
      <c r="K21" s="16" t="s">
        <v>402</v>
      </c>
      <c r="L21" s="15" t="s">
        <v>287</v>
      </c>
      <c r="M21" s="16" t="s">
        <v>356</v>
      </c>
      <c r="N21" s="16" t="s">
        <v>403</v>
      </c>
      <c r="O21" s="23" t="n">
        <v>1</v>
      </c>
      <c r="P21" s="24" t="n">
        <v>0.6</v>
      </c>
      <c r="Q21" s="17" t="n">
        <v>0.594</v>
      </c>
      <c r="R21" s="18" t="n">
        <v>56.2</v>
      </c>
      <c r="S21" s="16" t="s">
        <v>404</v>
      </c>
    </row>
    <row r="22" customFormat="false" ht="23.85" hidden="false" customHeight="false" outlineLevel="0" collapsed="false">
      <c r="A22" s="15" t="s">
        <v>405</v>
      </c>
      <c r="B22" s="16" t="s">
        <v>396</v>
      </c>
      <c r="C22" s="15" t="s">
        <v>207</v>
      </c>
      <c r="D22" s="16" t="s">
        <v>406</v>
      </c>
      <c r="E22" s="16" t="s">
        <v>407</v>
      </c>
      <c r="F22" s="16" t="s">
        <v>408</v>
      </c>
      <c r="G22" s="16" t="s">
        <v>152</v>
      </c>
      <c r="H22" s="16" t="s">
        <v>68</v>
      </c>
      <c r="I22" s="16" t="s">
        <v>374</v>
      </c>
      <c r="J22" s="16" t="s">
        <v>409</v>
      </c>
      <c r="K22" s="16" t="s">
        <v>410</v>
      </c>
      <c r="L22" s="15" t="s">
        <v>287</v>
      </c>
      <c r="M22" s="16" t="s">
        <v>356</v>
      </c>
      <c r="N22" s="16" t="s">
        <v>411</v>
      </c>
      <c r="O22" s="23" t="n">
        <v>0.6</v>
      </c>
      <c r="P22" s="24" t="n">
        <v>0.3</v>
      </c>
      <c r="Q22" s="17"/>
      <c r="R22" s="18"/>
      <c r="S22" s="16" t="s">
        <v>412</v>
      </c>
    </row>
    <row r="23" customFormat="false" ht="35.05" hidden="false" customHeight="false" outlineLevel="0" collapsed="false">
      <c r="A23" s="15" t="s">
        <v>413</v>
      </c>
      <c r="B23" s="16" t="s">
        <v>414</v>
      </c>
      <c r="C23" s="15" t="s">
        <v>207</v>
      </c>
      <c r="D23" s="16" t="s">
        <v>415</v>
      </c>
      <c r="E23" s="16" t="s">
        <v>416</v>
      </c>
      <c r="F23" s="16" t="s">
        <v>417</v>
      </c>
      <c r="G23" s="16" t="s">
        <v>132</v>
      </c>
      <c r="H23" s="16" t="s">
        <v>99</v>
      </c>
      <c r="I23" s="16" t="s">
        <v>418</v>
      </c>
      <c r="J23" s="16" t="s">
        <v>419</v>
      </c>
      <c r="K23" s="16" t="s">
        <v>420</v>
      </c>
      <c r="L23" s="15" t="s">
        <v>287</v>
      </c>
      <c r="M23" s="16" t="s">
        <v>356</v>
      </c>
      <c r="N23" s="16" t="s">
        <v>421</v>
      </c>
      <c r="O23" s="23" t="n">
        <v>1.2</v>
      </c>
      <c r="P23" s="24" t="n">
        <v>0.73</v>
      </c>
      <c r="Q23" s="17" t="n">
        <v>0.734</v>
      </c>
      <c r="R23" s="18" t="n">
        <v>72.8</v>
      </c>
      <c r="S23" s="16"/>
    </row>
    <row r="24" customFormat="false" ht="23.85" hidden="false" customHeight="false" outlineLevel="0" collapsed="false">
      <c r="A24" s="15" t="s">
        <v>422</v>
      </c>
      <c r="B24" s="16" t="s">
        <v>414</v>
      </c>
      <c r="C24" s="15" t="s">
        <v>207</v>
      </c>
      <c r="D24" s="16" t="s">
        <v>423</v>
      </c>
      <c r="E24" s="16" t="s">
        <v>424</v>
      </c>
      <c r="F24" s="16" t="s">
        <v>425</v>
      </c>
      <c r="G24" s="16" t="s">
        <v>140</v>
      </c>
      <c r="H24" s="16" t="s">
        <v>68</v>
      </c>
      <c r="I24" s="16" t="s">
        <v>413</v>
      </c>
      <c r="J24" s="16" t="s">
        <v>426</v>
      </c>
      <c r="K24" s="16" t="s">
        <v>427</v>
      </c>
      <c r="L24" s="15" t="s">
        <v>287</v>
      </c>
      <c r="M24" s="16" t="s">
        <v>307</v>
      </c>
      <c r="N24" s="16" t="s">
        <v>428</v>
      </c>
      <c r="O24" s="23" t="n">
        <v>1.2</v>
      </c>
      <c r="P24" s="24" t="n">
        <v>0.7</v>
      </c>
      <c r="Q24" s="17" t="n">
        <v>0.7</v>
      </c>
      <c r="R24" s="18" t="n">
        <v>70.2</v>
      </c>
      <c r="S24" s="16" t="s">
        <v>429</v>
      </c>
    </row>
    <row r="25" customFormat="false" ht="23.85" hidden="false" customHeight="false" outlineLevel="0" collapsed="false">
      <c r="A25" s="15" t="s">
        <v>430</v>
      </c>
      <c r="B25" s="16" t="s">
        <v>431</v>
      </c>
      <c r="C25" s="15" t="s">
        <v>207</v>
      </c>
      <c r="D25" s="16" t="s">
        <v>432</v>
      </c>
      <c r="E25" s="16" t="s">
        <v>433</v>
      </c>
      <c r="F25" s="16" t="s">
        <v>434</v>
      </c>
      <c r="G25" s="16" t="s">
        <v>140</v>
      </c>
      <c r="H25" s="16" t="s">
        <v>68</v>
      </c>
      <c r="I25" s="16" t="s">
        <v>435</v>
      </c>
      <c r="J25" s="16" t="s">
        <v>436</v>
      </c>
      <c r="K25" s="16" t="s">
        <v>437</v>
      </c>
      <c r="L25" s="15" t="s">
        <v>287</v>
      </c>
      <c r="M25" s="16" t="s">
        <v>356</v>
      </c>
      <c r="N25" s="16" t="s">
        <v>438</v>
      </c>
      <c r="O25" s="23" t="n">
        <v>0.5</v>
      </c>
      <c r="P25" s="24" t="n">
        <v>0.2</v>
      </c>
      <c r="Q25" s="17"/>
      <c r="R25" s="18"/>
      <c r="S25" s="16"/>
    </row>
    <row r="26" customFormat="false" ht="23.85" hidden="false" customHeight="false" outlineLevel="0" collapsed="false">
      <c r="A26" s="15" t="s">
        <v>439</v>
      </c>
      <c r="B26" s="16" t="s">
        <v>431</v>
      </c>
      <c r="C26" s="15" t="s">
        <v>207</v>
      </c>
      <c r="D26" s="16" t="s">
        <v>440</v>
      </c>
      <c r="E26" s="16" t="s">
        <v>441</v>
      </c>
      <c r="F26" s="16" t="s">
        <v>442</v>
      </c>
      <c r="G26" s="16" t="s">
        <v>101</v>
      </c>
      <c r="H26" s="16" t="s">
        <v>174</v>
      </c>
      <c r="I26" s="16" t="s">
        <v>365</v>
      </c>
      <c r="J26" s="16" t="s">
        <v>443</v>
      </c>
      <c r="K26" s="16" t="s">
        <v>444</v>
      </c>
      <c r="L26" s="15" t="s">
        <v>287</v>
      </c>
      <c r="M26" s="16" t="s">
        <v>307</v>
      </c>
      <c r="N26" s="16" t="s">
        <v>445</v>
      </c>
      <c r="O26" s="23" t="n">
        <v>0.5</v>
      </c>
      <c r="P26" s="24" t="n">
        <v>0.15</v>
      </c>
      <c r="Q26" s="17"/>
      <c r="R26" s="18"/>
      <c r="S26" s="16" t="s">
        <v>446</v>
      </c>
    </row>
    <row r="27" customFormat="false" ht="23.85" hidden="false" customHeight="false" outlineLevel="0" collapsed="false">
      <c r="A27" s="15" t="s">
        <v>447</v>
      </c>
      <c r="B27" s="16" t="s">
        <v>431</v>
      </c>
      <c r="C27" s="15" t="s">
        <v>448</v>
      </c>
      <c r="D27" s="16" t="s">
        <v>440</v>
      </c>
      <c r="E27" s="16" t="s">
        <v>449</v>
      </c>
      <c r="F27" s="16" t="s">
        <v>450</v>
      </c>
      <c r="G27" s="16" t="s">
        <v>174</v>
      </c>
      <c r="H27" s="16" t="s">
        <v>451</v>
      </c>
      <c r="I27" s="16" t="s">
        <v>452</v>
      </c>
      <c r="J27" s="16" t="s">
        <v>443</v>
      </c>
      <c r="K27" s="16" t="s">
        <v>444</v>
      </c>
      <c r="L27" s="15" t="s">
        <v>287</v>
      </c>
      <c r="M27" s="16" t="s">
        <v>347</v>
      </c>
      <c r="N27" s="16" t="s">
        <v>248</v>
      </c>
      <c r="O27" s="23" t="n">
        <v>1</v>
      </c>
      <c r="P27" s="24" t="n">
        <v>0.4</v>
      </c>
      <c r="Q27" s="17"/>
      <c r="R27" s="18"/>
      <c r="S27" s="16"/>
    </row>
    <row r="28" customFormat="false" ht="23.85" hidden="false" customHeight="false" outlineLevel="0" collapsed="false">
      <c r="A28" s="15" t="s">
        <v>453</v>
      </c>
      <c r="B28" s="16" t="s">
        <v>454</v>
      </c>
      <c r="C28" s="15" t="s">
        <v>207</v>
      </c>
      <c r="D28" s="16" t="s">
        <v>455</v>
      </c>
      <c r="E28" s="16" t="s">
        <v>456</v>
      </c>
      <c r="F28" s="16" t="s">
        <v>457</v>
      </c>
      <c r="G28" s="16" t="s">
        <v>140</v>
      </c>
      <c r="H28" s="16" t="s">
        <v>68</v>
      </c>
      <c r="I28" s="16" t="s">
        <v>422</v>
      </c>
      <c r="J28" s="16" t="s">
        <v>458</v>
      </c>
      <c r="K28" s="16" t="s">
        <v>459</v>
      </c>
      <c r="L28" s="15" t="s">
        <v>287</v>
      </c>
      <c r="M28" s="16" t="s">
        <v>356</v>
      </c>
      <c r="N28" s="16" t="s">
        <v>460</v>
      </c>
      <c r="O28" s="23" t="n">
        <v>0.6</v>
      </c>
      <c r="P28" s="24" t="n">
        <v>0.25</v>
      </c>
      <c r="Q28" s="17"/>
      <c r="R28" s="18"/>
      <c r="S28" s="16"/>
    </row>
    <row r="29" customFormat="false" ht="23.85" hidden="false" customHeight="false" outlineLevel="0" collapsed="false">
      <c r="A29" s="15" t="s">
        <v>461</v>
      </c>
      <c r="B29" s="16" t="s">
        <v>454</v>
      </c>
      <c r="C29" s="15" t="s">
        <v>207</v>
      </c>
      <c r="D29" s="16" t="s">
        <v>462</v>
      </c>
      <c r="E29" s="16" t="s">
        <v>463</v>
      </c>
      <c r="F29" s="16" t="s">
        <v>464</v>
      </c>
      <c r="G29" s="16" t="s">
        <v>152</v>
      </c>
      <c r="H29" s="16" t="s">
        <v>68</v>
      </c>
      <c r="I29" s="16" t="s">
        <v>374</v>
      </c>
      <c r="J29" s="16" t="s">
        <v>458</v>
      </c>
      <c r="K29" s="16" t="s">
        <v>465</v>
      </c>
      <c r="L29" s="15" t="s">
        <v>287</v>
      </c>
      <c r="M29" s="16" t="s">
        <v>356</v>
      </c>
      <c r="N29" s="16" t="s">
        <v>466</v>
      </c>
      <c r="O29" s="23" t="n">
        <v>1.2</v>
      </c>
      <c r="P29" s="24" t="n">
        <v>0.63</v>
      </c>
      <c r="Q29" s="17" t="n">
        <v>0.628</v>
      </c>
      <c r="R29" s="18" t="n">
        <v>76.2</v>
      </c>
      <c r="S29" s="16"/>
    </row>
    <row r="30" customFormat="false" ht="23.85" hidden="false" customHeight="false" outlineLevel="0" collapsed="false">
      <c r="A30" s="15" t="s">
        <v>467</v>
      </c>
      <c r="B30" s="16" t="s">
        <v>468</v>
      </c>
      <c r="C30" s="15" t="s">
        <v>207</v>
      </c>
      <c r="D30" s="16" t="s">
        <v>469</v>
      </c>
      <c r="E30" s="16" t="s">
        <v>470</v>
      </c>
      <c r="F30" s="16" t="s">
        <v>471</v>
      </c>
      <c r="G30" s="16" t="s">
        <v>158</v>
      </c>
      <c r="H30" s="16" t="s">
        <v>68</v>
      </c>
      <c r="I30" s="16" t="s">
        <v>374</v>
      </c>
      <c r="J30" s="16" t="s">
        <v>472</v>
      </c>
      <c r="K30" s="16" t="s">
        <v>473</v>
      </c>
      <c r="L30" s="15" t="s">
        <v>474</v>
      </c>
      <c r="M30" s="16" t="s">
        <v>356</v>
      </c>
      <c r="N30" s="16" t="s">
        <v>475</v>
      </c>
      <c r="O30" s="23" t="n">
        <v>0.8</v>
      </c>
      <c r="P30" s="24" t="n">
        <v>0.45</v>
      </c>
      <c r="Q30" s="17" t="n">
        <v>0.453</v>
      </c>
      <c r="R30" s="18" t="n">
        <v>45.1</v>
      </c>
      <c r="S30" s="16"/>
    </row>
    <row r="31" customFormat="false" ht="23.85" hidden="false" customHeight="false" outlineLevel="0" collapsed="false">
      <c r="A31" s="15" t="s">
        <v>476</v>
      </c>
      <c r="B31" s="16" t="s">
        <v>477</v>
      </c>
      <c r="C31" s="15" t="s">
        <v>215</v>
      </c>
      <c r="D31" s="16" t="s">
        <v>478</v>
      </c>
      <c r="E31" s="16" t="s">
        <v>479</v>
      </c>
      <c r="F31" s="16" t="s">
        <v>480</v>
      </c>
      <c r="G31" s="16" t="s">
        <v>80</v>
      </c>
      <c r="H31" s="16" t="s">
        <v>68</v>
      </c>
      <c r="I31" s="16" t="s">
        <v>481</v>
      </c>
      <c r="J31" s="16" t="s">
        <v>248</v>
      </c>
      <c r="K31" s="16" t="s">
        <v>386</v>
      </c>
      <c r="L31" s="15" t="s">
        <v>287</v>
      </c>
      <c r="M31" s="16" t="s">
        <v>347</v>
      </c>
      <c r="N31" s="16" t="s">
        <v>482</v>
      </c>
      <c r="O31" s="23" t="n">
        <v>0.3</v>
      </c>
      <c r="P31" s="24" t="n">
        <v>0.1</v>
      </c>
      <c r="Q31" s="17"/>
      <c r="R31" s="18"/>
      <c r="S31" s="16"/>
    </row>
    <row r="32" customFormat="false" ht="23.85" hidden="false" customHeight="false" outlineLevel="0" collapsed="false">
      <c r="A32" s="15" t="s">
        <v>483</v>
      </c>
      <c r="B32" s="16" t="s">
        <v>477</v>
      </c>
      <c r="C32" s="15" t="s">
        <v>215</v>
      </c>
      <c r="D32" s="16" t="s">
        <v>484</v>
      </c>
      <c r="E32" s="16" t="s">
        <v>485</v>
      </c>
      <c r="F32" s="16" t="s">
        <v>486</v>
      </c>
      <c r="G32" s="16" t="s">
        <v>80</v>
      </c>
      <c r="H32" s="16" t="s">
        <v>68</v>
      </c>
      <c r="I32" s="16" t="s">
        <v>476</v>
      </c>
      <c r="J32" s="16" t="s">
        <v>487</v>
      </c>
      <c r="K32" s="16" t="s">
        <v>488</v>
      </c>
      <c r="L32" s="15" t="s">
        <v>287</v>
      </c>
      <c r="M32" s="16" t="s">
        <v>347</v>
      </c>
      <c r="N32" s="16" t="s">
        <v>248</v>
      </c>
      <c r="O32" s="23" t="n">
        <v>0.5</v>
      </c>
      <c r="P32" s="24" t="n">
        <v>0.2</v>
      </c>
      <c r="Q32" s="17"/>
      <c r="R32" s="18"/>
      <c r="S32" s="16"/>
    </row>
    <row r="33" customFormat="false" ht="35.05" hidden="false" customHeight="false" outlineLevel="0" collapsed="false">
      <c r="A33" s="15" t="s">
        <v>489</v>
      </c>
      <c r="B33" s="16" t="s">
        <v>477</v>
      </c>
      <c r="C33" s="15" t="s">
        <v>215</v>
      </c>
      <c r="D33" s="16" t="s">
        <v>490</v>
      </c>
      <c r="E33" s="16" t="s">
        <v>491</v>
      </c>
      <c r="F33" s="16" t="s">
        <v>492</v>
      </c>
      <c r="G33" s="16" t="s">
        <v>140</v>
      </c>
      <c r="H33" s="16" t="s">
        <v>99</v>
      </c>
      <c r="I33" s="16" t="s">
        <v>483</v>
      </c>
      <c r="J33" s="16" t="s">
        <v>493</v>
      </c>
      <c r="K33" s="16" t="s">
        <v>494</v>
      </c>
      <c r="L33" s="15" t="s">
        <v>287</v>
      </c>
      <c r="M33" s="16" t="s">
        <v>307</v>
      </c>
      <c r="N33" s="16" t="s">
        <v>495</v>
      </c>
      <c r="O33" s="23" t="n">
        <v>1</v>
      </c>
      <c r="P33" s="24" t="n">
        <v>0.4</v>
      </c>
      <c r="Q33" s="17"/>
      <c r="R33" s="18"/>
      <c r="S33" s="16" t="s">
        <v>496</v>
      </c>
    </row>
    <row r="34" customFormat="false" ht="23.85" hidden="false" customHeight="false" outlineLevel="0" collapsed="false">
      <c r="A34" s="15" t="s">
        <v>497</v>
      </c>
      <c r="B34" s="16" t="s">
        <v>477</v>
      </c>
      <c r="C34" s="15" t="s">
        <v>215</v>
      </c>
      <c r="D34" s="16" t="s">
        <v>284</v>
      </c>
      <c r="E34" s="16" t="s">
        <v>498</v>
      </c>
      <c r="F34" s="16" t="s">
        <v>499</v>
      </c>
      <c r="G34" s="16" t="s">
        <v>500</v>
      </c>
      <c r="H34" s="16" t="s">
        <v>68</v>
      </c>
      <c r="I34" s="16" t="s">
        <v>489</v>
      </c>
      <c r="J34" s="16" t="s">
        <v>501</v>
      </c>
      <c r="K34" s="16" t="s">
        <v>502</v>
      </c>
      <c r="L34" s="15" t="s">
        <v>287</v>
      </c>
      <c r="M34" s="16" t="s">
        <v>347</v>
      </c>
      <c r="N34" s="16" t="s">
        <v>248</v>
      </c>
      <c r="O34" s="23" t="n">
        <v>1.5</v>
      </c>
      <c r="P34" s="24" t="n">
        <v>0.8</v>
      </c>
      <c r="Q34" s="17"/>
      <c r="R34" s="18"/>
      <c r="S34" s="16" t="s">
        <v>503</v>
      </c>
    </row>
    <row r="35" customFormat="false" ht="23.85" hidden="false" customHeight="false" outlineLevel="0" collapsed="false">
      <c r="A35" s="15" t="s">
        <v>504</v>
      </c>
      <c r="B35" s="16" t="s">
        <v>477</v>
      </c>
      <c r="C35" s="15" t="s">
        <v>215</v>
      </c>
      <c r="D35" s="16" t="s">
        <v>505</v>
      </c>
      <c r="E35" s="16" t="s">
        <v>506</v>
      </c>
      <c r="F35" s="16" t="s">
        <v>507</v>
      </c>
      <c r="G35" s="16" t="s">
        <v>80</v>
      </c>
      <c r="H35" s="16" t="s">
        <v>174</v>
      </c>
      <c r="I35" s="16" t="s">
        <v>476</v>
      </c>
      <c r="J35" s="16" t="s">
        <v>508</v>
      </c>
      <c r="K35" s="16" t="s">
        <v>509</v>
      </c>
      <c r="L35" s="15" t="s">
        <v>287</v>
      </c>
      <c r="M35" s="16" t="s">
        <v>347</v>
      </c>
      <c r="N35" s="16" t="s">
        <v>248</v>
      </c>
      <c r="O35" s="23" t="n">
        <v>0.4</v>
      </c>
      <c r="P35" s="24" t="n">
        <v>0.15</v>
      </c>
      <c r="Q35" s="17"/>
      <c r="R35" s="18"/>
      <c r="S35" s="16"/>
    </row>
    <row r="36" customFormat="false" ht="46.25" hidden="false" customHeight="false" outlineLevel="0" collapsed="false">
      <c r="A36" s="15" t="s">
        <v>510</v>
      </c>
      <c r="B36" s="16" t="s">
        <v>477</v>
      </c>
      <c r="C36" s="15" t="s">
        <v>215</v>
      </c>
      <c r="D36" s="16" t="s">
        <v>382</v>
      </c>
      <c r="E36" s="16" t="s">
        <v>511</v>
      </c>
      <c r="F36" s="16" t="s">
        <v>512</v>
      </c>
      <c r="G36" s="16" t="s">
        <v>164</v>
      </c>
      <c r="H36" s="16" t="s">
        <v>68</v>
      </c>
      <c r="I36" s="16" t="s">
        <v>513</v>
      </c>
      <c r="J36" s="16" t="s">
        <v>248</v>
      </c>
      <c r="K36" s="16" t="s">
        <v>386</v>
      </c>
      <c r="L36" s="15" t="s">
        <v>287</v>
      </c>
      <c r="M36" s="16" t="s">
        <v>307</v>
      </c>
      <c r="N36" s="16" t="s">
        <v>514</v>
      </c>
      <c r="O36" s="23" t="n">
        <v>1</v>
      </c>
      <c r="P36" s="24" t="n">
        <v>0.4</v>
      </c>
      <c r="Q36" s="17"/>
      <c r="R36" s="18"/>
      <c r="S36" s="16" t="s">
        <v>515</v>
      </c>
    </row>
    <row r="37" customFormat="false" ht="35.05" hidden="false" customHeight="false" outlineLevel="0" collapsed="false">
      <c r="A37" s="15" t="s">
        <v>516</v>
      </c>
      <c r="B37" s="16" t="s">
        <v>477</v>
      </c>
      <c r="C37" s="15" t="s">
        <v>215</v>
      </c>
      <c r="D37" s="16" t="s">
        <v>517</v>
      </c>
      <c r="E37" s="16" t="s">
        <v>518</v>
      </c>
      <c r="F37" s="16" t="s">
        <v>519</v>
      </c>
      <c r="G37" s="16" t="s">
        <v>520</v>
      </c>
      <c r="H37" s="16" t="s">
        <v>181</v>
      </c>
      <c r="I37" s="16" t="s">
        <v>510</v>
      </c>
      <c r="J37" s="16" t="s">
        <v>521</v>
      </c>
      <c r="K37" s="16" t="s">
        <v>522</v>
      </c>
      <c r="L37" s="15" t="s">
        <v>287</v>
      </c>
      <c r="M37" s="16" t="s">
        <v>347</v>
      </c>
      <c r="N37" s="16" t="s">
        <v>248</v>
      </c>
      <c r="O37" s="23" t="n">
        <v>0.5</v>
      </c>
      <c r="P37" s="24" t="n">
        <v>0.1</v>
      </c>
      <c r="Q37" s="17"/>
      <c r="R37" s="18"/>
      <c r="S37" s="16" t="s">
        <v>523</v>
      </c>
    </row>
    <row r="38" customFormat="false" ht="35.05" hidden="false" customHeight="false" outlineLevel="0" collapsed="false">
      <c r="A38" s="15" t="s">
        <v>524</v>
      </c>
      <c r="B38" s="16" t="s">
        <v>477</v>
      </c>
      <c r="C38" s="15" t="s">
        <v>215</v>
      </c>
      <c r="D38" s="16" t="s">
        <v>525</v>
      </c>
      <c r="E38" s="16" t="s">
        <v>526</v>
      </c>
      <c r="F38" s="16" t="s">
        <v>527</v>
      </c>
      <c r="G38" s="16" t="s">
        <v>528</v>
      </c>
      <c r="H38" s="16" t="s">
        <v>99</v>
      </c>
      <c r="I38" s="16" t="s">
        <v>483</v>
      </c>
      <c r="J38" s="16" t="s">
        <v>529</v>
      </c>
      <c r="K38" s="16" t="s">
        <v>530</v>
      </c>
      <c r="L38" s="15" t="s">
        <v>287</v>
      </c>
      <c r="M38" s="16" t="s">
        <v>347</v>
      </c>
      <c r="N38" s="16" t="s">
        <v>248</v>
      </c>
      <c r="O38" s="23" t="n">
        <v>1.5</v>
      </c>
      <c r="P38" s="24" t="n">
        <v>0.7</v>
      </c>
      <c r="Q38" s="17"/>
      <c r="R38" s="18"/>
      <c r="S38" s="16"/>
    </row>
    <row r="39" customFormat="false" ht="23.85" hidden="false" customHeight="false" outlineLevel="0" collapsed="false">
      <c r="A39" s="15" t="s">
        <v>531</v>
      </c>
      <c r="B39" s="16" t="s">
        <v>454</v>
      </c>
      <c r="C39" s="15" t="s">
        <v>448</v>
      </c>
      <c r="D39" s="16" t="s">
        <v>284</v>
      </c>
      <c r="E39" s="16" t="s">
        <v>532</v>
      </c>
      <c r="F39" s="16" t="s">
        <v>533</v>
      </c>
      <c r="G39" s="16" t="s">
        <v>164</v>
      </c>
      <c r="H39" s="16" t="s">
        <v>123</v>
      </c>
      <c r="I39" s="16" t="s">
        <v>534</v>
      </c>
      <c r="J39" s="16" t="s">
        <v>501</v>
      </c>
      <c r="K39" s="16" t="s">
        <v>535</v>
      </c>
      <c r="L39" s="15" t="s">
        <v>287</v>
      </c>
      <c r="M39" s="16" t="s">
        <v>347</v>
      </c>
      <c r="N39" s="16" t="s">
        <v>248</v>
      </c>
      <c r="O39" s="23" t="n">
        <v>1.5</v>
      </c>
      <c r="P39" s="24" t="n">
        <v>0.6</v>
      </c>
      <c r="Q39" s="17"/>
      <c r="R39" s="18"/>
      <c r="S39" s="16"/>
    </row>
    <row r="40" customFormat="false" ht="23.85" hidden="false" customHeight="false" outlineLevel="0" collapsed="false">
      <c r="A40" s="15" t="s">
        <v>536</v>
      </c>
      <c r="B40" s="16" t="s">
        <v>454</v>
      </c>
      <c r="C40" s="15" t="s">
        <v>448</v>
      </c>
      <c r="D40" s="16" t="s">
        <v>537</v>
      </c>
      <c r="E40" s="16" t="s">
        <v>538</v>
      </c>
      <c r="F40" s="16" t="s">
        <v>539</v>
      </c>
      <c r="G40" s="16" t="s">
        <v>164</v>
      </c>
      <c r="H40" s="16" t="s">
        <v>68</v>
      </c>
      <c r="I40" s="16" t="s">
        <v>531</v>
      </c>
      <c r="J40" s="16" t="s">
        <v>540</v>
      </c>
      <c r="K40" s="16" t="s">
        <v>541</v>
      </c>
      <c r="L40" s="15" t="s">
        <v>287</v>
      </c>
      <c r="M40" s="16" t="s">
        <v>347</v>
      </c>
      <c r="N40" s="16" t="s">
        <v>248</v>
      </c>
      <c r="O40" s="23" t="n">
        <v>1</v>
      </c>
      <c r="P40" s="24" t="n">
        <v>0.4</v>
      </c>
      <c r="Q40" s="17"/>
      <c r="R40" s="18"/>
      <c r="S40" s="16"/>
    </row>
    <row r="41" customFormat="false" ht="23.85" hidden="false" customHeight="false" outlineLevel="0" collapsed="false">
      <c r="A41" s="15" t="s">
        <v>542</v>
      </c>
      <c r="B41" s="16" t="s">
        <v>454</v>
      </c>
      <c r="C41" s="15" t="s">
        <v>448</v>
      </c>
      <c r="D41" s="16" t="s">
        <v>543</v>
      </c>
      <c r="E41" s="16" t="s">
        <v>544</v>
      </c>
      <c r="F41" s="16" t="s">
        <v>545</v>
      </c>
      <c r="G41" s="16" t="s">
        <v>164</v>
      </c>
      <c r="H41" s="16" t="s">
        <v>546</v>
      </c>
      <c r="I41" s="16" t="s">
        <v>531</v>
      </c>
      <c r="J41" s="16" t="s">
        <v>547</v>
      </c>
      <c r="K41" s="16" t="s">
        <v>548</v>
      </c>
      <c r="L41" s="15" t="s">
        <v>287</v>
      </c>
      <c r="M41" s="16" t="s">
        <v>347</v>
      </c>
      <c r="N41" s="16" t="s">
        <v>248</v>
      </c>
      <c r="O41" s="23" t="n">
        <v>1</v>
      </c>
      <c r="P41" s="24" t="n">
        <v>0.4</v>
      </c>
      <c r="Q41" s="17"/>
      <c r="R41" s="18"/>
      <c r="S41" s="16"/>
    </row>
    <row r="42" customFormat="false" ht="35.05" hidden="false" customHeight="false" outlineLevel="0" collapsed="false">
      <c r="A42" s="15" t="s">
        <v>549</v>
      </c>
      <c r="B42" s="16" t="s">
        <v>431</v>
      </c>
      <c r="C42" s="15" t="s">
        <v>448</v>
      </c>
      <c r="D42" s="16" t="s">
        <v>550</v>
      </c>
      <c r="E42" s="16" t="s">
        <v>551</v>
      </c>
      <c r="F42" s="16" t="s">
        <v>552</v>
      </c>
      <c r="G42" s="16" t="s">
        <v>174</v>
      </c>
      <c r="H42" s="16" t="s">
        <v>181</v>
      </c>
      <c r="I42" s="16" t="s">
        <v>553</v>
      </c>
      <c r="J42" s="16" t="s">
        <v>554</v>
      </c>
      <c r="K42" s="16" t="s">
        <v>555</v>
      </c>
      <c r="L42" s="15" t="s">
        <v>287</v>
      </c>
      <c r="M42" s="16" t="s">
        <v>347</v>
      </c>
      <c r="N42" s="16" t="s">
        <v>248</v>
      </c>
      <c r="O42" s="23" t="n">
        <v>1.5</v>
      </c>
      <c r="P42" s="24" t="n">
        <v>0.6</v>
      </c>
      <c r="Q42" s="17"/>
      <c r="R42" s="18"/>
      <c r="S42" s="16"/>
    </row>
    <row r="43" customFormat="false" ht="23.85" hidden="false" customHeight="false" outlineLevel="0" collapsed="false">
      <c r="A43" s="15" t="s">
        <v>556</v>
      </c>
      <c r="B43" s="16" t="s">
        <v>396</v>
      </c>
      <c r="C43" s="15" t="s">
        <v>448</v>
      </c>
      <c r="D43" s="16" t="s">
        <v>557</v>
      </c>
      <c r="E43" s="16" t="s">
        <v>558</v>
      </c>
      <c r="F43" s="16" t="s">
        <v>559</v>
      </c>
      <c r="G43" s="16" t="s">
        <v>181</v>
      </c>
      <c r="H43" s="16" t="s">
        <v>248</v>
      </c>
      <c r="I43" s="16" t="s">
        <v>560</v>
      </c>
      <c r="J43" s="16" t="s">
        <v>248</v>
      </c>
      <c r="K43" s="16" t="s">
        <v>561</v>
      </c>
      <c r="L43" s="15" t="s">
        <v>287</v>
      </c>
      <c r="M43" s="16" t="s">
        <v>347</v>
      </c>
      <c r="N43" s="16" t="s">
        <v>248</v>
      </c>
      <c r="O43" s="23" t="n">
        <v>0.5</v>
      </c>
      <c r="P43" s="24" t="n">
        <v>0</v>
      </c>
      <c r="Q43" s="17"/>
      <c r="R43" s="18"/>
      <c r="S43" s="16" t="s">
        <v>348</v>
      </c>
    </row>
    <row r="44" customFormat="false" ht="23.85" hidden="false" customHeight="false" outlineLevel="0" collapsed="false">
      <c r="A44" s="15" t="s">
        <v>562</v>
      </c>
      <c r="B44" s="16" t="s">
        <v>454</v>
      </c>
      <c r="C44" s="15" t="s">
        <v>448</v>
      </c>
      <c r="D44" s="16" t="s">
        <v>455</v>
      </c>
      <c r="E44" s="16" t="s">
        <v>563</v>
      </c>
      <c r="F44" s="16" t="s">
        <v>564</v>
      </c>
      <c r="G44" s="16" t="s">
        <v>181</v>
      </c>
      <c r="H44" s="16" t="s">
        <v>248</v>
      </c>
      <c r="I44" s="16" t="s">
        <v>536</v>
      </c>
      <c r="J44" s="16" t="s">
        <v>458</v>
      </c>
      <c r="K44" s="16" t="s">
        <v>565</v>
      </c>
      <c r="L44" s="15" t="s">
        <v>287</v>
      </c>
      <c r="M44" s="16" t="s">
        <v>347</v>
      </c>
      <c r="N44" s="16" t="s">
        <v>248</v>
      </c>
      <c r="O44" s="23" t="n">
        <v>0.5</v>
      </c>
      <c r="P44" s="24" t="n">
        <v>0</v>
      </c>
      <c r="Q44" s="17"/>
      <c r="R44" s="18"/>
      <c r="S44" s="16" t="s">
        <v>348</v>
      </c>
    </row>
    <row r="45" customFormat="false" ht="46.25" hidden="false" customHeight="false" outlineLevel="0" collapsed="false">
      <c r="A45" s="15" t="s">
        <v>566</v>
      </c>
      <c r="B45" s="16" t="s">
        <v>454</v>
      </c>
      <c r="C45" s="15" t="s">
        <v>191</v>
      </c>
      <c r="D45" s="16" t="s">
        <v>284</v>
      </c>
      <c r="E45" s="16" t="s">
        <v>567</v>
      </c>
      <c r="F45" s="16" t="s">
        <v>568</v>
      </c>
      <c r="G45" s="16" t="s">
        <v>181</v>
      </c>
      <c r="H45" s="16" t="s">
        <v>248</v>
      </c>
      <c r="I45" s="16" t="s">
        <v>569</v>
      </c>
      <c r="J45" s="16" t="s">
        <v>248</v>
      </c>
      <c r="K45" s="16" t="s">
        <v>570</v>
      </c>
      <c r="L45" s="15" t="s">
        <v>287</v>
      </c>
      <c r="M45" s="16" t="s">
        <v>347</v>
      </c>
      <c r="N45" s="16" t="s">
        <v>248</v>
      </c>
      <c r="O45" s="23" t="n">
        <v>1</v>
      </c>
      <c r="P45" s="24" t="n">
        <v>0</v>
      </c>
      <c r="Q45" s="17"/>
      <c r="R45" s="18"/>
      <c r="S45" s="16" t="s">
        <v>571</v>
      </c>
    </row>
    <row r="46" customFormat="false" ht="23.85" hidden="false" customHeight="false" outlineLevel="0" collapsed="false">
      <c r="A46" s="15" t="s">
        <v>572</v>
      </c>
      <c r="B46" s="16" t="s">
        <v>468</v>
      </c>
      <c r="C46" s="15" t="s">
        <v>191</v>
      </c>
      <c r="D46" s="16" t="s">
        <v>432</v>
      </c>
      <c r="E46" s="16" t="s">
        <v>573</v>
      </c>
      <c r="F46" s="16" t="s">
        <v>574</v>
      </c>
      <c r="G46" s="16" t="s">
        <v>575</v>
      </c>
      <c r="H46" s="16" t="s">
        <v>174</v>
      </c>
      <c r="I46" s="16" t="s">
        <v>510</v>
      </c>
      <c r="J46" s="16" t="s">
        <v>576</v>
      </c>
      <c r="K46" s="16" t="s">
        <v>577</v>
      </c>
      <c r="L46" s="15" t="s">
        <v>474</v>
      </c>
      <c r="M46" s="16" t="s">
        <v>347</v>
      </c>
      <c r="N46" s="16" t="s">
        <v>248</v>
      </c>
      <c r="O46" s="23" t="n">
        <v>1.5</v>
      </c>
      <c r="P46" s="24" t="n">
        <v>0.6</v>
      </c>
      <c r="Q46" s="17"/>
      <c r="R46" s="18"/>
      <c r="S46" s="16"/>
    </row>
    <row r="47" customFormat="false" ht="23.85" hidden="false" customHeight="false" outlineLevel="0" collapsed="false">
      <c r="A47" s="15" t="s">
        <v>578</v>
      </c>
      <c r="B47" s="16" t="s">
        <v>468</v>
      </c>
      <c r="C47" s="15" t="s">
        <v>191</v>
      </c>
      <c r="D47" s="16" t="s">
        <v>579</v>
      </c>
      <c r="E47" s="16" t="s">
        <v>580</v>
      </c>
      <c r="F47" s="16" t="s">
        <v>581</v>
      </c>
      <c r="G47" s="16" t="s">
        <v>582</v>
      </c>
      <c r="H47" s="16" t="s">
        <v>174</v>
      </c>
      <c r="I47" s="16" t="s">
        <v>510</v>
      </c>
      <c r="J47" s="16" t="s">
        <v>583</v>
      </c>
      <c r="K47" s="16" t="s">
        <v>248</v>
      </c>
      <c r="L47" s="15" t="s">
        <v>474</v>
      </c>
      <c r="M47" s="16" t="s">
        <v>347</v>
      </c>
      <c r="N47" s="16" t="s">
        <v>248</v>
      </c>
      <c r="O47" s="23" t="n">
        <v>1</v>
      </c>
      <c r="P47" s="24" t="n">
        <v>0.4</v>
      </c>
      <c r="Q47" s="17"/>
      <c r="R47" s="18"/>
      <c r="S47" s="16"/>
    </row>
    <row r="48" customFormat="false" ht="23.85" hidden="false" customHeight="false" outlineLevel="0" collapsed="false">
      <c r="A48" s="15" t="s">
        <v>584</v>
      </c>
      <c r="B48" s="16" t="s">
        <v>468</v>
      </c>
      <c r="C48" s="15" t="s">
        <v>191</v>
      </c>
      <c r="D48" s="16" t="s">
        <v>585</v>
      </c>
      <c r="E48" s="16" t="s">
        <v>586</v>
      </c>
      <c r="F48" s="16" t="s">
        <v>587</v>
      </c>
      <c r="G48" s="16" t="s">
        <v>588</v>
      </c>
      <c r="H48" s="16" t="s">
        <v>68</v>
      </c>
      <c r="I48" s="16" t="s">
        <v>510</v>
      </c>
      <c r="J48" s="16" t="s">
        <v>589</v>
      </c>
      <c r="K48" s="16" t="s">
        <v>590</v>
      </c>
      <c r="L48" s="15" t="s">
        <v>474</v>
      </c>
      <c r="M48" s="16" t="s">
        <v>347</v>
      </c>
      <c r="N48" s="16" t="s">
        <v>248</v>
      </c>
      <c r="O48" s="23" t="n">
        <v>1</v>
      </c>
      <c r="P48" s="24" t="n">
        <v>0.4</v>
      </c>
      <c r="Q48" s="17"/>
      <c r="R48" s="18"/>
      <c r="S48" s="16"/>
    </row>
    <row r="49" customFormat="false" ht="23.85" hidden="false" customHeight="false" outlineLevel="0" collapsed="false">
      <c r="A49" s="15" t="s">
        <v>591</v>
      </c>
      <c r="B49" s="16" t="s">
        <v>468</v>
      </c>
      <c r="C49" s="15" t="s">
        <v>191</v>
      </c>
      <c r="D49" s="16" t="s">
        <v>440</v>
      </c>
      <c r="E49" s="16" t="s">
        <v>592</v>
      </c>
      <c r="F49" s="16" t="s">
        <v>593</v>
      </c>
      <c r="G49" s="16" t="s">
        <v>594</v>
      </c>
      <c r="H49" s="16" t="s">
        <v>174</v>
      </c>
      <c r="I49" s="16" t="s">
        <v>447</v>
      </c>
      <c r="J49" s="16" t="s">
        <v>595</v>
      </c>
      <c r="K49" s="16" t="s">
        <v>444</v>
      </c>
      <c r="L49" s="15" t="s">
        <v>474</v>
      </c>
      <c r="M49" s="16" t="s">
        <v>347</v>
      </c>
      <c r="N49" s="16" t="s">
        <v>248</v>
      </c>
      <c r="O49" s="23" t="n">
        <v>0.8</v>
      </c>
      <c r="P49" s="24" t="n">
        <v>0.3</v>
      </c>
      <c r="Q49" s="17"/>
      <c r="R49" s="18"/>
      <c r="S49" s="16"/>
    </row>
    <row r="50" customFormat="false" ht="23.85" hidden="false" customHeight="false" outlineLevel="0" collapsed="false">
      <c r="A50" s="15" t="s">
        <v>596</v>
      </c>
      <c r="B50" s="16" t="s">
        <v>468</v>
      </c>
      <c r="C50" s="15" t="s">
        <v>191</v>
      </c>
      <c r="D50" s="16" t="s">
        <v>284</v>
      </c>
      <c r="E50" s="16" t="s">
        <v>597</v>
      </c>
      <c r="F50" s="16" t="s">
        <v>598</v>
      </c>
      <c r="G50" s="16" t="s">
        <v>181</v>
      </c>
      <c r="H50" s="16" t="s">
        <v>248</v>
      </c>
      <c r="I50" s="16" t="s">
        <v>599</v>
      </c>
      <c r="J50" s="16" t="s">
        <v>248</v>
      </c>
      <c r="K50" s="16" t="s">
        <v>248</v>
      </c>
      <c r="L50" s="15" t="s">
        <v>474</v>
      </c>
      <c r="M50" s="16" t="s">
        <v>347</v>
      </c>
      <c r="N50" s="16" t="s">
        <v>248</v>
      </c>
      <c r="O50" s="23" t="n">
        <v>4</v>
      </c>
      <c r="P50" s="24" t="n">
        <v>0</v>
      </c>
      <c r="Q50" s="17"/>
      <c r="R50" s="18"/>
      <c r="S50" s="16" t="s">
        <v>600</v>
      </c>
    </row>
    <row r="51" customFormat="false" ht="23.85" hidden="false" customHeight="false" outlineLevel="0" collapsed="false">
      <c r="A51" s="15" t="s">
        <v>601</v>
      </c>
      <c r="B51" s="16" t="s">
        <v>468</v>
      </c>
      <c r="C51" s="15" t="s">
        <v>191</v>
      </c>
      <c r="D51" s="16" t="s">
        <v>602</v>
      </c>
      <c r="E51" s="16" t="s">
        <v>603</v>
      </c>
      <c r="F51" s="16" t="s">
        <v>604</v>
      </c>
      <c r="G51" s="16" t="s">
        <v>605</v>
      </c>
      <c r="H51" s="16" t="s">
        <v>164</v>
      </c>
      <c r="I51" s="16" t="s">
        <v>497</v>
      </c>
      <c r="J51" s="16" t="s">
        <v>606</v>
      </c>
      <c r="K51" s="16" t="s">
        <v>248</v>
      </c>
      <c r="L51" s="15" t="s">
        <v>474</v>
      </c>
      <c r="M51" s="16" t="s">
        <v>347</v>
      </c>
      <c r="N51" s="16" t="s">
        <v>248</v>
      </c>
      <c r="O51" s="23" t="n">
        <v>1</v>
      </c>
      <c r="P51" s="24" t="n">
        <v>0.4</v>
      </c>
      <c r="Q51" s="17"/>
      <c r="R51" s="18"/>
      <c r="S51" s="16"/>
    </row>
    <row r="52" customFormat="false" ht="23.85" hidden="false" customHeight="false" outlineLevel="0" collapsed="false">
      <c r="A52" s="15" t="s">
        <v>607</v>
      </c>
      <c r="B52" s="16" t="s">
        <v>468</v>
      </c>
      <c r="C52" s="15" t="s">
        <v>448</v>
      </c>
      <c r="D52" s="16" t="s">
        <v>382</v>
      </c>
      <c r="E52" s="16" t="s">
        <v>608</v>
      </c>
      <c r="F52" s="16" t="s">
        <v>609</v>
      </c>
      <c r="G52" s="16" t="s">
        <v>124</v>
      </c>
      <c r="H52" s="16" t="s">
        <v>254</v>
      </c>
      <c r="I52" s="16" t="s">
        <v>510</v>
      </c>
      <c r="J52" s="16" t="s">
        <v>393</v>
      </c>
      <c r="K52" s="16" t="s">
        <v>386</v>
      </c>
      <c r="L52" s="15" t="s">
        <v>287</v>
      </c>
      <c r="M52" s="16" t="s">
        <v>347</v>
      </c>
      <c r="N52" s="16" t="s">
        <v>610</v>
      </c>
      <c r="O52" s="23" t="n">
        <v>0.6</v>
      </c>
      <c r="P52" s="24" t="n">
        <v>0.2</v>
      </c>
      <c r="Q52" s="17"/>
      <c r="R52" s="18"/>
      <c r="S52" s="16"/>
    </row>
    <row r="53" customFormat="false" ht="46.25" hidden="false" customHeight="false" outlineLevel="0" collapsed="false">
      <c r="A53" s="15" t="s">
        <v>611</v>
      </c>
      <c r="B53" s="16" t="s">
        <v>468</v>
      </c>
      <c r="C53" s="15" t="s">
        <v>191</v>
      </c>
      <c r="D53" s="16" t="s">
        <v>612</v>
      </c>
      <c r="E53" s="16" t="s">
        <v>613</v>
      </c>
      <c r="F53" s="16" t="s">
        <v>614</v>
      </c>
      <c r="G53" s="16" t="s">
        <v>615</v>
      </c>
      <c r="H53" s="16" t="s">
        <v>174</v>
      </c>
      <c r="I53" s="16" t="s">
        <v>584</v>
      </c>
      <c r="J53" s="16" t="s">
        <v>616</v>
      </c>
      <c r="K53" s="16" t="s">
        <v>617</v>
      </c>
      <c r="L53" s="15" t="s">
        <v>287</v>
      </c>
      <c r="M53" s="16" t="s">
        <v>347</v>
      </c>
      <c r="N53" s="16" t="s">
        <v>248</v>
      </c>
      <c r="O53" s="23" t="n">
        <v>2</v>
      </c>
      <c r="P53" s="24" t="n">
        <v>0.8</v>
      </c>
      <c r="Q53" s="17"/>
      <c r="R53" s="18"/>
      <c r="S53" s="16" t="s">
        <v>618</v>
      </c>
    </row>
    <row r="54" customFormat="false" ht="46.25" hidden="false" customHeight="false" outlineLevel="0" collapsed="false">
      <c r="A54" s="15" t="s">
        <v>619</v>
      </c>
      <c r="B54" s="16" t="s">
        <v>468</v>
      </c>
      <c r="C54" s="15" t="s">
        <v>191</v>
      </c>
      <c r="D54" s="16" t="s">
        <v>612</v>
      </c>
      <c r="E54" s="16" t="s">
        <v>620</v>
      </c>
      <c r="F54" s="16" t="s">
        <v>621</v>
      </c>
      <c r="G54" s="16" t="s">
        <v>622</v>
      </c>
      <c r="H54" s="16" t="s">
        <v>623</v>
      </c>
      <c r="I54" s="16" t="s">
        <v>611</v>
      </c>
      <c r="J54" s="16" t="s">
        <v>624</v>
      </c>
      <c r="K54" s="16" t="s">
        <v>625</v>
      </c>
      <c r="L54" s="15" t="s">
        <v>474</v>
      </c>
      <c r="M54" s="16" t="s">
        <v>347</v>
      </c>
      <c r="N54" s="16" t="s">
        <v>248</v>
      </c>
      <c r="O54" s="23" t="n">
        <v>1</v>
      </c>
      <c r="P54" s="24" t="n">
        <v>0.4</v>
      </c>
      <c r="Q54" s="17"/>
      <c r="R54" s="18"/>
      <c r="S54" s="16" t="s">
        <v>626</v>
      </c>
    </row>
    <row r="55" customFormat="false" ht="35.05" hidden="false" customHeight="false" outlineLevel="0" collapsed="false">
      <c r="A55" s="15" t="s">
        <v>627</v>
      </c>
      <c r="B55" s="16" t="s">
        <v>468</v>
      </c>
      <c r="C55" s="15" t="s">
        <v>191</v>
      </c>
      <c r="D55" s="16" t="s">
        <v>284</v>
      </c>
      <c r="E55" s="16" t="s">
        <v>628</v>
      </c>
      <c r="F55" s="16" t="s">
        <v>629</v>
      </c>
      <c r="G55" s="16" t="s">
        <v>181</v>
      </c>
      <c r="H55" s="16" t="s">
        <v>248</v>
      </c>
      <c r="I55" s="16" t="s">
        <v>630</v>
      </c>
      <c r="J55" s="16" t="s">
        <v>248</v>
      </c>
      <c r="K55" s="16" t="s">
        <v>631</v>
      </c>
      <c r="L55" s="15" t="s">
        <v>474</v>
      </c>
      <c r="M55" s="16" t="s">
        <v>347</v>
      </c>
      <c r="N55" s="16" t="s">
        <v>248</v>
      </c>
      <c r="O55" s="23" t="n">
        <v>0.5</v>
      </c>
      <c r="P55" s="24" t="n">
        <v>0</v>
      </c>
      <c r="Q55" s="17"/>
      <c r="R55" s="18"/>
      <c r="S55" s="16" t="s">
        <v>348</v>
      </c>
    </row>
    <row r="56" customFormat="false" ht="23.85" hidden="false" customHeight="false" outlineLevel="0" collapsed="false">
      <c r="A56" s="15" t="s">
        <v>632</v>
      </c>
      <c r="B56" s="16" t="s">
        <v>633</v>
      </c>
      <c r="C56" s="15" t="s">
        <v>191</v>
      </c>
      <c r="D56" s="16" t="s">
        <v>382</v>
      </c>
      <c r="E56" s="16" t="s">
        <v>634</v>
      </c>
      <c r="F56" s="16" t="s">
        <v>635</v>
      </c>
      <c r="G56" s="16" t="s">
        <v>636</v>
      </c>
      <c r="H56" s="16" t="s">
        <v>637</v>
      </c>
      <c r="I56" s="16" t="s">
        <v>638</v>
      </c>
      <c r="J56" s="16" t="s">
        <v>639</v>
      </c>
      <c r="K56" s="16" t="s">
        <v>386</v>
      </c>
      <c r="L56" s="15" t="s">
        <v>287</v>
      </c>
      <c r="M56" s="16" t="s">
        <v>347</v>
      </c>
      <c r="N56" s="16" t="s">
        <v>248</v>
      </c>
      <c r="O56" s="23" t="n">
        <v>2</v>
      </c>
      <c r="P56" s="24" t="n">
        <v>0.5</v>
      </c>
      <c r="Q56" s="17"/>
      <c r="R56" s="18"/>
      <c r="S56" s="16"/>
    </row>
    <row r="57" customFormat="false" ht="23.85" hidden="false" customHeight="false" outlineLevel="0" collapsed="false">
      <c r="A57" s="15" t="s">
        <v>640</v>
      </c>
      <c r="B57" s="16" t="s">
        <v>633</v>
      </c>
      <c r="C57" s="15" t="s">
        <v>191</v>
      </c>
      <c r="D57" s="16" t="s">
        <v>641</v>
      </c>
      <c r="E57" s="16" t="s">
        <v>642</v>
      </c>
      <c r="F57" s="16" t="s">
        <v>643</v>
      </c>
      <c r="G57" s="16" t="s">
        <v>644</v>
      </c>
      <c r="H57" s="16" t="s">
        <v>174</v>
      </c>
      <c r="I57" s="16" t="s">
        <v>632</v>
      </c>
      <c r="J57" s="16" t="s">
        <v>645</v>
      </c>
      <c r="K57" s="16" t="s">
        <v>646</v>
      </c>
      <c r="L57" s="15" t="s">
        <v>647</v>
      </c>
      <c r="M57" s="16" t="s">
        <v>307</v>
      </c>
      <c r="N57" s="16" t="s">
        <v>648</v>
      </c>
      <c r="O57" s="23" t="n">
        <v>1</v>
      </c>
      <c r="P57" s="24" t="n">
        <v>0.4</v>
      </c>
      <c r="Q57" s="17"/>
      <c r="R57" s="18"/>
      <c r="S57" s="16"/>
    </row>
    <row r="58" customFormat="false" ht="35.05" hidden="false" customHeight="false" outlineLevel="0" collapsed="false">
      <c r="A58" s="15" t="s">
        <v>649</v>
      </c>
      <c r="B58" s="16" t="s">
        <v>650</v>
      </c>
      <c r="C58" s="15" t="s">
        <v>215</v>
      </c>
      <c r="D58" s="16" t="s">
        <v>651</v>
      </c>
      <c r="E58" s="16" t="s">
        <v>652</v>
      </c>
      <c r="F58" s="16" t="s">
        <v>653</v>
      </c>
      <c r="G58" s="16" t="s">
        <v>208</v>
      </c>
      <c r="H58" s="16" t="s">
        <v>68</v>
      </c>
      <c r="I58" s="16" t="s">
        <v>489</v>
      </c>
      <c r="J58" s="16" t="s">
        <v>248</v>
      </c>
      <c r="K58" s="16" t="s">
        <v>654</v>
      </c>
      <c r="L58" s="15" t="s">
        <v>474</v>
      </c>
      <c r="M58" s="16" t="s">
        <v>109</v>
      </c>
      <c r="N58" s="16" t="s">
        <v>655</v>
      </c>
      <c r="O58" s="23" t="n">
        <v>1</v>
      </c>
      <c r="P58" s="24" t="n">
        <v>0.41</v>
      </c>
      <c r="Q58" s="17" t="n">
        <v>0.409</v>
      </c>
      <c r="R58" s="18" t="n">
        <v>44.7</v>
      </c>
      <c r="S58" s="16"/>
    </row>
    <row r="59" customFormat="false" ht="35.05" hidden="false" customHeight="false" outlineLevel="0" collapsed="false">
      <c r="A59" s="15" t="s">
        <v>656</v>
      </c>
      <c r="B59" s="16" t="s">
        <v>282</v>
      </c>
      <c r="C59" s="15" t="s">
        <v>215</v>
      </c>
      <c r="D59" s="16" t="s">
        <v>657</v>
      </c>
      <c r="E59" s="16" t="s">
        <v>658</v>
      </c>
      <c r="F59" s="16" t="s">
        <v>659</v>
      </c>
      <c r="G59" s="16" t="s">
        <v>68</v>
      </c>
      <c r="H59" s="16" t="s">
        <v>660</v>
      </c>
      <c r="I59" s="16" t="s">
        <v>325</v>
      </c>
      <c r="J59" s="16" t="s">
        <v>661</v>
      </c>
      <c r="K59" s="16" t="s">
        <v>662</v>
      </c>
      <c r="L59" s="15" t="s">
        <v>474</v>
      </c>
      <c r="M59" s="16" t="s">
        <v>307</v>
      </c>
      <c r="N59" s="16" t="s">
        <v>663</v>
      </c>
      <c r="O59" s="23" t="n">
        <v>0.6</v>
      </c>
      <c r="P59" s="24" t="n">
        <v>0.1</v>
      </c>
      <c r="Q59" s="17"/>
      <c r="R59" s="18"/>
      <c r="S59" s="16" t="s">
        <v>664</v>
      </c>
    </row>
    <row r="60" customFormat="false" ht="23.85" hidden="false" customHeight="false" outlineLevel="0" collapsed="false">
      <c r="A60" s="15" t="s">
        <v>665</v>
      </c>
      <c r="B60" s="16" t="s">
        <v>650</v>
      </c>
      <c r="C60" s="15" t="s">
        <v>215</v>
      </c>
      <c r="D60" s="16" t="s">
        <v>657</v>
      </c>
      <c r="E60" s="16" t="s">
        <v>666</v>
      </c>
      <c r="F60" s="16" t="s">
        <v>667</v>
      </c>
      <c r="G60" s="16" t="s">
        <v>208</v>
      </c>
      <c r="H60" s="16" t="s">
        <v>68</v>
      </c>
      <c r="I60" s="16" t="s">
        <v>668</v>
      </c>
      <c r="J60" s="16" t="s">
        <v>248</v>
      </c>
      <c r="K60" s="16" t="s">
        <v>248</v>
      </c>
      <c r="L60" s="15" t="s">
        <v>647</v>
      </c>
      <c r="M60" s="16" t="s">
        <v>109</v>
      </c>
      <c r="N60" s="16" t="s">
        <v>669</v>
      </c>
      <c r="O60" s="23" t="n">
        <v>0.8</v>
      </c>
      <c r="P60" s="24" t="n">
        <v>0.4</v>
      </c>
      <c r="Q60" s="17"/>
      <c r="R60" s="18"/>
      <c r="S60" s="16" t="s">
        <v>670</v>
      </c>
    </row>
    <row r="61" customFormat="false" ht="46.25" hidden="false" customHeight="false" outlineLevel="0" collapsed="false">
      <c r="A61" s="15" t="s">
        <v>671</v>
      </c>
      <c r="B61" s="16" t="s">
        <v>282</v>
      </c>
      <c r="C61" s="15" t="s">
        <v>215</v>
      </c>
      <c r="D61" s="16" t="s">
        <v>657</v>
      </c>
      <c r="E61" s="16" t="s">
        <v>672</v>
      </c>
      <c r="F61" s="16" t="s">
        <v>673</v>
      </c>
      <c r="G61" s="16" t="s">
        <v>68</v>
      </c>
      <c r="H61" s="16" t="s">
        <v>660</v>
      </c>
      <c r="I61" s="16" t="s">
        <v>656</v>
      </c>
      <c r="J61" s="16" t="s">
        <v>674</v>
      </c>
      <c r="K61" s="16" t="s">
        <v>662</v>
      </c>
      <c r="L61" s="15" t="s">
        <v>474</v>
      </c>
      <c r="M61" s="16" t="s">
        <v>307</v>
      </c>
      <c r="N61" s="16" t="s">
        <v>675</v>
      </c>
      <c r="O61" s="23" t="n">
        <v>0.8</v>
      </c>
      <c r="P61" s="24" t="n">
        <v>0.3</v>
      </c>
      <c r="Q61" s="17"/>
      <c r="R61" s="18"/>
      <c r="S61" s="16" t="s">
        <v>676</v>
      </c>
    </row>
    <row r="62" customFormat="false" ht="35.05" hidden="false" customHeight="false" outlineLevel="0" collapsed="false">
      <c r="A62" s="15" t="s">
        <v>677</v>
      </c>
      <c r="B62" s="16" t="s">
        <v>282</v>
      </c>
      <c r="C62" s="15" t="s">
        <v>215</v>
      </c>
      <c r="D62" s="16" t="s">
        <v>678</v>
      </c>
      <c r="E62" s="16" t="s">
        <v>679</v>
      </c>
      <c r="F62" s="16" t="s">
        <v>680</v>
      </c>
      <c r="G62" s="16" t="s">
        <v>68</v>
      </c>
      <c r="H62" s="16" t="s">
        <v>660</v>
      </c>
      <c r="I62" s="16" t="s">
        <v>671</v>
      </c>
      <c r="J62" s="16" t="s">
        <v>681</v>
      </c>
      <c r="K62" s="16" t="s">
        <v>682</v>
      </c>
      <c r="L62" s="15" t="s">
        <v>474</v>
      </c>
      <c r="M62" s="16" t="s">
        <v>307</v>
      </c>
      <c r="N62" s="16" t="s">
        <v>683</v>
      </c>
      <c r="O62" s="23" t="n">
        <v>0.8</v>
      </c>
      <c r="P62" s="24" t="n">
        <v>0.3</v>
      </c>
      <c r="Q62" s="17"/>
      <c r="R62" s="18"/>
      <c r="S62" s="16" t="s">
        <v>676</v>
      </c>
    </row>
    <row r="63" customFormat="false" ht="46.25" hidden="false" customHeight="false" outlineLevel="0" collapsed="false">
      <c r="A63" s="15" t="s">
        <v>684</v>
      </c>
      <c r="B63" s="16" t="s">
        <v>650</v>
      </c>
      <c r="C63" s="15" t="s">
        <v>215</v>
      </c>
      <c r="D63" s="16" t="s">
        <v>678</v>
      </c>
      <c r="E63" s="16" t="s">
        <v>685</v>
      </c>
      <c r="F63" s="16" t="s">
        <v>686</v>
      </c>
      <c r="G63" s="16" t="s">
        <v>208</v>
      </c>
      <c r="H63" s="16" t="s">
        <v>68</v>
      </c>
      <c r="I63" s="16" t="s">
        <v>687</v>
      </c>
      <c r="J63" s="16" t="s">
        <v>688</v>
      </c>
      <c r="K63" s="16" t="s">
        <v>248</v>
      </c>
      <c r="L63" s="15" t="s">
        <v>474</v>
      </c>
      <c r="M63" s="16" t="s">
        <v>109</v>
      </c>
      <c r="N63" s="16" t="s">
        <v>689</v>
      </c>
      <c r="O63" s="23" t="n">
        <v>1.5</v>
      </c>
      <c r="P63" s="24" t="n">
        <v>0.9</v>
      </c>
      <c r="Q63" s="17"/>
      <c r="R63" s="18"/>
      <c r="S63" s="16" t="s">
        <v>690</v>
      </c>
    </row>
    <row r="64" customFormat="false" ht="46.25" hidden="false" customHeight="false" outlineLevel="0" collapsed="false">
      <c r="A64" s="15" t="s">
        <v>691</v>
      </c>
      <c r="B64" s="16" t="s">
        <v>282</v>
      </c>
      <c r="C64" s="15" t="s">
        <v>215</v>
      </c>
      <c r="D64" s="16" t="s">
        <v>692</v>
      </c>
      <c r="E64" s="16" t="s">
        <v>693</v>
      </c>
      <c r="F64" s="16" t="s">
        <v>694</v>
      </c>
      <c r="G64" s="16" t="s">
        <v>68</v>
      </c>
      <c r="H64" s="16" t="s">
        <v>660</v>
      </c>
      <c r="I64" s="16" t="s">
        <v>677</v>
      </c>
      <c r="J64" s="16" t="s">
        <v>695</v>
      </c>
      <c r="K64" s="16" t="s">
        <v>696</v>
      </c>
      <c r="L64" s="15" t="s">
        <v>474</v>
      </c>
      <c r="M64" s="16" t="s">
        <v>307</v>
      </c>
      <c r="N64" s="16" t="s">
        <v>697</v>
      </c>
      <c r="O64" s="23" t="n">
        <v>0.8</v>
      </c>
      <c r="P64" s="24" t="n">
        <v>0.3</v>
      </c>
      <c r="Q64" s="17"/>
      <c r="R64" s="18"/>
      <c r="S64" s="16" t="s">
        <v>676</v>
      </c>
    </row>
    <row r="65" customFormat="false" ht="46.25" hidden="false" customHeight="false" outlineLevel="0" collapsed="false">
      <c r="A65" s="15" t="s">
        <v>698</v>
      </c>
      <c r="B65" s="16" t="s">
        <v>650</v>
      </c>
      <c r="C65" s="15" t="s">
        <v>215</v>
      </c>
      <c r="D65" s="16" t="s">
        <v>692</v>
      </c>
      <c r="E65" s="16" t="s">
        <v>699</v>
      </c>
      <c r="F65" s="16" t="s">
        <v>700</v>
      </c>
      <c r="G65" s="16" t="s">
        <v>208</v>
      </c>
      <c r="H65" s="16" t="s">
        <v>68</v>
      </c>
      <c r="I65" s="16" t="s">
        <v>701</v>
      </c>
      <c r="J65" s="16" t="s">
        <v>702</v>
      </c>
      <c r="K65" s="16" t="s">
        <v>248</v>
      </c>
      <c r="L65" s="15" t="s">
        <v>474</v>
      </c>
      <c r="M65" s="16" t="s">
        <v>109</v>
      </c>
      <c r="N65" s="16" t="s">
        <v>703</v>
      </c>
      <c r="O65" s="23" t="n">
        <v>1</v>
      </c>
      <c r="P65" s="24" t="n">
        <v>0.6</v>
      </c>
      <c r="Q65" s="17"/>
      <c r="R65" s="18"/>
      <c r="S65" s="16" t="s">
        <v>704</v>
      </c>
    </row>
    <row r="66" customFormat="false" ht="35.05" hidden="false" customHeight="false" outlineLevel="0" collapsed="false">
      <c r="A66" s="15" t="s">
        <v>705</v>
      </c>
      <c r="B66" s="16" t="s">
        <v>706</v>
      </c>
      <c r="C66" s="15" t="s">
        <v>707</v>
      </c>
      <c r="D66" s="16" t="s">
        <v>708</v>
      </c>
      <c r="E66" s="16" t="s">
        <v>709</v>
      </c>
      <c r="F66" s="16" t="s">
        <v>710</v>
      </c>
      <c r="G66" s="16" t="s">
        <v>68</v>
      </c>
      <c r="H66" s="16" t="s">
        <v>711</v>
      </c>
      <c r="I66" s="16" t="s">
        <v>712</v>
      </c>
      <c r="J66" s="16" t="s">
        <v>713</v>
      </c>
      <c r="K66" s="16" t="s">
        <v>714</v>
      </c>
      <c r="L66" s="15" t="s">
        <v>287</v>
      </c>
      <c r="M66" s="16" t="s">
        <v>347</v>
      </c>
      <c r="N66" s="16" t="s">
        <v>248</v>
      </c>
      <c r="O66" s="23" t="n">
        <v>1</v>
      </c>
      <c r="P66" s="24" t="n">
        <v>0.4</v>
      </c>
      <c r="Q66" s="17"/>
      <c r="R66" s="18"/>
      <c r="S66" s="16" t="s">
        <v>715</v>
      </c>
    </row>
    <row r="67" customFormat="false" ht="23.85" hidden="false" customHeight="false" outlineLevel="0" collapsed="false">
      <c r="A67" s="15" t="s">
        <v>716</v>
      </c>
      <c r="B67" s="16" t="s">
        <v>706</v>
      </c>
      <c r="C67" s="15" t="s">
        <v>707</v>
      </c>
      <c r="D67" s="16" t="s">
        <v>717</v>
      </c>
      <c r="E67" s="16" t="s">
        <v>718</v>
      </c>
      <c r="F67" s="16" t="s">
        <v>719</v>
      </c>
      <c r="G67" s="16" t="s">
        <v>720</v>
      </c>
      <c r="H67" s="16" t="s">
        <v>623</v>
      </c>
      <c r="I67" s="16" t="s">
        <v>721</v>
      </c>
      <c r="J67" s="16" t="s">
        <v>722</v>
      </c>
      <c r="K67" s="16" t="s">
        <v>723</v>
      </c>
      <c r="L67" s="15" t="s">
        <v>287</v>
      </c>
      <c r="M67" s="16" t="s">
        <v>347</v>
      </c>
      <c r="N67" s="16" t="s">
        <v>248</v>
      </c>
      <c r="O67" s="23" t="n">
        <v>0.5</v>
      </c>
      <c r="P67" s="24" t="n">
        <v>0.1</v>
      </c>
      <c r="Q67" s="17"/>
      <c r="R67" s="18"/>
      <c r="S67" s="16" t="s">
        <v>724</v>
      </c>
    </row>
    <row r="68" customFormat="false" ht="23.85" hidden="false" customHeight="false" outlineLevel="0" collapsed="false">
      <c r="A68" s="15" t="s">
        <v>725</v>
      </c>
      <c r="B68" s="16" t="s">
        <v>706</v>
      </c>
      <c r="C68" s="15" t="s">
        <v>707</v>
      </c>
      <c r="D68" s="16" t="s">
        <v>717</v>
      </c>
      <c r="E68" s="16" t="s">
        <v>726</v>
      </c>
      <c r="F68" s="16" t="s">
        <v>727</v>
      </c>
      <c r="G68" s="16" t="s">
        <v>216</v>
      </c>
      <c r="H68" s="16" t="s">
        <v>623</v>
      </c>
      <c r="I68" s="16" t="s">
        <v>716</v>
      </c>
      <c r="J68" s="16" t="s">
        <v>728</v>
      </c>
      <c r="K68" s="16" t="s">
        <v>729</v>
      </c>
      <c r="L68" s="15" t="s">
        <v>287</v>
      </c>
      <c r="M68" s="16" t="s">
        <v>347</v>
      </c>
      <c r="N68" s="16" t="s">
        <v>248</v>
      </c>
      <c r="O68" s="23" t="n">
        <v>1.5</v>
      </c>
      <c r="P68" s="24" t="n">
        <v>0.6</v>
      </c>
      <c r="Q68" s="17"/>
      <c r="R68" s="18"/>
      <c r="S68" s="16"/>
    </row>
    <row r="69" customFormat="false" ht="23.85" hidden="false" customHeight="false" outlineLevel="0" collapsed="false">
      <c r="A69" s="15" t="s">
        <v>730</v>
      </c>
      <c r="B69" s="16" t="s">
        <v>706</v>
      </c>
      <c r="C69" s="15" t="s">
        <v>707</v>
      </c>
      <c r="D69" s="16" t="s">
        <v>731</v>
      </c>
      <c r="E69" s="16" t="s">
        <v>732</v>
      </c>
      <c r="F69" s="16" t="s">
        <v>733</v>
      </c>
      <c r="G69" s="16" t="s">
        <v>734</v>
      </c>
      <c r="H69" s="16" t="s">
        <v>623</v>
      </c>
      <c r="I69" s="16" t="s">
        <v>725</v>
      </c>
      <c r="J69" s="16" t="s">
        <v>735</v>
      </c>
      <c r="K69" s="16" t="s">
        <v>723</v>
      </c>
      <c r="L69" s="15" t="s">
        <v>287</v>
      </c>
      <c r="M69" s="16" t="s">
        <v>347</v>
      </c>
      <c r="N69" s="16" t="s">
        <v>248</v>
      </c>
      <c r="O69" s="23" t="n">
        <v>1.5</v>
      </c>
      <c r="P69" s="24" t="n">
        <v>0.6</v>
      </c>
      <c r="Q69" s="17"/>
      <c r="R69" s="18"/>
      <c r="S69" s="16"/>
    </row>
    <row r="70" customFormat="false" ht="23.85" hidden="false" customHeight="false" outlineLevel="0" collapsed="false">
      <c r="A70" s="15" t="s">
        <v>736</v>
      </c>
      <c r="B70" s="16" t="s">
        <v>706</v>
      </c>
      <c r="C70" s="15" t="s">
        <v>707</v>
      </c>
      <c r="D70" s="16" t="s">
        <v>737</v>
      </c>
      <c r="E70" s="16" t="s">
        <v>738</v>
      </c>
      <c r="F70" s="16" t="s">
        <v>739</v>
      </c>
      <c r="G70" s="16" t="s">
        <v>740</v>
      </c>
      <c r="H70" s="16" t="s">
        <v>623</v>
      </c>
      <c r="I70" s="16" t="s">
        <v>730</v>
      </c>
      <c r="J70" s="16" t="s">
        <v>741</v>
      </c>
      <c r="K70" s="16" t="s">
        <v>742</v>
      </c>
      <c r="L70" s="15" t="s">
        <v>287</v>
      </c>
      <c r="M70" s="16" t="s">
        <v>347</v>
      </c>
      <c r="N70" s="16" t="s">
        <v>248</v>
      </c>
      <c r="O70" s="23" t="n">
        <v>2</v>
      </c>
      <c r="P70" s="24" t="n">
        <v>0.8</v>
      </c>
      <c r="Q70" s="17"/>
      <c r="R70" s="18"/>
      <c r="S70" s="16"/>
    </row>
    <row r="71" customFormat="false" ht="23.85" hidden="false" customHeight="false" outlineLevel="0" collapsed="false">
      <c r="A71" s="15" t="s">
        <v>743</v>
      </c>
      <c r="B71" s="16" t="s">
        <v>706</v>
      </c>
      <c r="C71" s="15" t="s">
        <v>707</v>
      </c>
      <c r="D71" s="16" t="s">
        <v>717</v>
      </c>
      <c r="E71" s="16" t="s">
        <v>744</v>
      </c>
      <c r="F71" s="16" t="s">
        <v>745</v>
      </c>
      <c r="G71" s="16" t="s">
        <v>605</v>
      </c>
      <c r="H71" s="16" t="s">
        <v>164</v>
      </c>
      <c r="I71" s="16" t="s">
        <v>730</v>
      </c>
      <c r="J71" s="16" t="s">
        <v>746</v>
      </c>
      <c r="K71" s="16" t="s">
        <v>747</v>
      </c>
      <c r="L71" s="15" t="s">
        <v>287</v>
      </c>
      <c r="M71" s="16" t="s">
        <v>347</v>
      </c>
      <c r="N71" s="16" t="s">
        <v>248</v>
      </c>
      <c r="O71" s="23" t="n">
        <v>1.5</v>
      </c>
      <c r="P71" s="24" t="n">
        <v>0.6</v>
      </c>
      <c r="Q71" s="17"/>
      <c r="R71" s="18"/>
      <c r="S71" s="16"/>
    </row>
    <row r="72" customFormat="false" ht="23.85" hidden="false" customHeight="false" outlineLevel="0" collapsed="false">
      <c r="A72" s="15" t="s">
        <v>748</v>
      </c>
      <c r="B72" s="16" t="s">
        <v>706</v>
      </c>
      <c r="C72" s="15" t="s">
        <v>707</v>
      </c>
      <c r="D72" s="16" t="s">
        <v>717</v>
      </c>
      <c r="E72" s="16" t="s">
        <v>749</v>
      </c>
      <c r="F72" s="16" t="s">
        <v>750</v>
      </c>
      <c r="G72" s="16" t="s">
        <v>181</v>
      </c>
      <c r="H72" s="16" t="s">
        <v>248</v>
      </c>
      <c r="I72" s="16" t="s">
        <v>751</v>
      </c>
      <c r="J72" s="16" t="s">
        <v>248</v>
      </c>
      <c r="K72" s="16" t="s">
        <v>752</v>
      </c>
      <c r="L72" s="15" t="s">
        <v>287</v>
      </c>
      <c r="M72" s="16" t="s">
        <v>347</v>
      </c>
      <c r="N72" s="16" t="s">
        <v>248</v>
      </c>
      <c r="O72" s="23" t="n">
        <v>0.5</v>
      </c>
      <c r="P72" s="24" t="n">
        <v>0</v>
      </c>
      <c r="Q72" s="17"/>
      <c r="R72" s="18"/>
      <c r="S72" s="16" t="s">
        <v>348</v>
      </c>
    </row>
    <row r="73" customFormat="false" ht="46.25" hidden="false" customHeight="false" outlineLevel="0" collapsed="false">
      <c r="A73" s="15" t="s">
        <v>753</v>
      </c>
      <c r="B73" s="16" t="s">
        <v>754</v>
      </c>
      <c r="C73" s="15" t="s">
        <v>755</v>
      </c>
      <c r="D73" s="16" t="s">
        <v>756</v>
      </c>
      <c r="E73" s="16" t="s">
        <v>757</v>
      </c>
      <c r="F73" s="16" t="s">
        <v>758</v>
      </c>
      <c r="G73" s="16" t="s">
        <v>132</v>
      </c>
      <c r="H73" s="16" t="s">
        <v>68</v>
      </c>
      <c r="I73" s="16" t="s">
        <v>759</v>
      </c>
      <c r="J73" s="16" t="s">
        <v>760</v>
      </c>
      <c r="K73" s="16" t="s">
        <v>761</v>
      </c>
      <c r="L73" s="15" t="s">
        <v>287</v>
      </c>
      <c r="M73" s="16" t="s">
        <v>347</v>
      </c>
      <c r="N73" s="16" t="s">
        <v>248</v>
      </c>
      <c r="O73" s="23" t="n">
        <v>1.5</v>
      </c>
      <c r="P73" s="24" t="n">
        <v>0.6</v>
      </c>
      <c r="Q73" s="17"/>
      <c r="R73" s="18"/>
      <c r="S73" s="16"/>
    </row>
    <row r="74" customFormat="false" ht="23.85" hidden="false" customHeight="false" outlineLevel="0" collapsed="false">
      <c r="A74" s="15" t="s">
        <v>762</v>
      </c>
      <c r="B74" s="16" t="s">
        <v>754</v>
      </c>
      <c r="C74" s="15" t="s">
        <v>755</v>
      </c>
      <c r="D74" s="16" t="s">
        <v>763</v>
      </c>
      <c r="E74" s="16" t="s">
        <v>764</v>
      </c>
      <c r="F74" s="16" t="s">
        <v>765</v>
      </c>
      <c r="G74" s="16" t="s">
        <v>224</v>
      </c>
      <c r="H74" s="16" t="s">
        <v>68</v>
      </c>
      <c r="I74" s="16" t="s">
        <v>753</v>
      </c>
      <c r="J74" s="16" t="s">
        <v>766</v>
      </c>
      <c r="K74" s="16" t="s">
        <v>248</v>
      </c>
      <c r="L74" s="15" t="s">
        <v>287</v>
      </c>
      <c r="M74" s="16" t="s">
        <v>347</v>
      </c>
      <c r="N74" s="16" t="s">
        <v>248</v>
      </c>
      <c r="O74" s="23" t="n">
        <v>2</v>
      </c>
      <c r="P74" s="24" t="n">
        <v>0.8</v>
      </c>
      <c r="Q74" s="17"/>
      <c r="R74" s="18"/>
      <c r="S74" s="16"/>
    </row>
    <row r="75" customFormat="false" ht="23.85" hidden="false" customHeight="false" outlineLevel="0" collapsed="false">
      <c r="A75" s="15" t="s">
        <v>767</v>
      </c>
      <c r="B75" s="16" t="s">
        <v>754</v>
      </c>
      <c r="C75" s="15" t="s">
        <v>755</v>
      </c>
      <c r="D75" s="16" t="s">
        <v>763</v>
      </c>
      <c r="E75" s="16" t="s">
        <v>768</v>
      </c>
      <c r="F75" s="16" t="s">
        <v>769</v>
      </c>
      <c r="G75" s="16" t="s">
        <v>224</v>
      </c>
      <c r="H75" s="16" t="s">
        <v>174</v>
      </c>
      <c r="I75" s="16" t="s">
        <v>762</v>
      </c>
      <c r="J75" s="16" t="s">
        <v>770</v>
      </c>
      <c r="K75" s="16" t="s">
        <v>771</v>
      </c>
      <c r="L75" s="15" t="s">
        <v>287</v>
      </c>
      <c r="M75" s="16" t="s">
        <v>347</v>
      </c>
      <c r="N75" s="16" t="s">
        <v>248</v>
      </c>
      <c r="O75" s="23" t="n">
        <v>2</v>
      </c>
      <c r="P75" s="24" t="n">
        <v>0.8</v>
      </c>
      <c r="Q75" s="17"/>
      <c r="R75" s="18"/>
      <c r="S75" s="16"/>
    </row>
    <row r="76" customFormat="false" ht="23.85" hidden="false" customHeight="false" outlineLevel="0" collapsed="false">
      <c r="A76" s="15" t="s">
        <v>772</v>
      </c>
      <c r="B76" s="16" t="s">
        <v>754</v>
      </c>
      <c r="C76" s="15" t="s">
        <v>755</v>
      </c>
      <c r="D76" s="16" t="s">
        <v>763</v>
      </c>
      <c r="E76" s="16" t="s">
        <v>773</v>
      </c>
      <c r="F76" s="16" t="s">
        <v>774</v>
      </c>
      <c r="G76" s="16" t="s">
        <v>775</v>
      </c>
      <c r="H76" s="16" t="s">
        <v>174</v>
      </c>
      <c r="I76" s="16" t="s">
        <v>762</v>
      </c>
      <c r="J76" s="16" t="s">
        <v>776</v>
      </c>
      <c r="K76" s="16" t="s">
        <v>777</v>
      </c>
      <c r="L76" s="15" t="s">
        <v>287</v>
      </c>
      <c r="M76" s="16" t="s">
        <v>347</v>
      </c>
      <c r="N76" s="16" t="s">
        <v>248</v>
      </c>
      <c r="O76" s="23" t="n">
        <v>2</v>
      </c>
      <c r="P76" s="24" t="n">
        <v>0.8</v>
      </c>
      <c r="Q76" s="17"/>
      <c r="R76" s="18"/>
      <c r="S76" s="16"/>
    </row>
    <row r="77" customFormat="false" ht="23.85" hidden="false" customHeight="false" outlineLevel="0" collapsed="false">
      <c r="A77" s="15" t="s">
        <v>778</v>
      </c>
      <c r="B77" s="16" t="s">
        <v>754</v>
      </c>
      <c r="C77" s="15" t="s">
        <v>755</v>
      </c>
      <c r="D77" s="16" t="s">
        <v>763</v>
      </c>
      <c r="E77" s="16" t="s">
        <v>779</v>
      </c>
      <c r="F77" s="16" t="s">
        <v>780</v>
      </c>
      <c r="G77" s="16" t="s">
        <v>231</v>
      </c>
      <c r="H77" s="16" t="s">
        <v>164</v>
      </c>
      <c r="I77" s="16" t="s">
        <v>781</v>
      </c>
      <c r="J77" s="16" t="s">
        <v>782</v>
      </c>
      <c r="K77" s="16" t="s">
        <v>783</v>
      </c>
      <c r="L77" s="15" t="s">
        <v>287</v>
      </c>
      <c r="M77" s="16" t="s">
        <v>347</v>
      </c>
      <c r="N77" s="16" t="s">
        <v>248</v>
      </c>
      <c r="O77" s="23" t="n">
        <v>2</v>
      </c>
      <c r="P77" s="24" t="n">
        <v>0.8</v>
      </c>
      <c r="Q77" s="17"/>
      <c r="R77" s="18"/>
      <c r="S77" s="16"/>
    </row>
    <row r="78" customFormat="false" ht="23.85" hidden="false" customHeight="false" outlineLevel="0" collapsed="false">
      <c r="A78" s="15" t="s">
        <v>784</v>
      </c>
      <c r="B78" s="16" t="s">
        <v>754</v>
      </c>
      <c r="C78" s="15" t="s">
        <v>755</v>
      </c>
      <c r="D78" s="16" t="s">
        <v>763</v>
      </c>
      <c r="E78" s="16" t="s">
        <v>785</v>
      </c>
      <c r="F78" s="16" t="s">
        <v>786</v>
      </c>
      <c r="G78" s="16" t="s">
        <v>164</v>
      </c>
      <c r="H78" s="16" t="s">
        <v>181</v>
      </c>
      <c r="I78" s="16" t="s">
        <v>778</v>
      </c>
      <c r="J78" s="16" t="s">
        <v>248</v>
      </c>
      <c r="K78" s="16" t="s">
        <v>771</v>
      </c>
      <c r="L78" s="15" t="s">
        <v>287</v>
      </c>
      <c r="M78" s="16" t="s">
        <v>347</v>
      </c>
      <c r="N78" s="16" t="s">
        <v>248</v>
      </c>
      <c r="O78" s="23" t="n">
        <v>1.5</v>
      </c>
      <c r="P78" s="24" t="n">
        <v>0.5</v>
      </c>
      <c r="Q78" s="17"/>
      <c r="R78" s="18"/>
      <c r="S78" s="16"/>
    </row>
    <row r="79" customFormat="false" ht="35.05" hidden="false" customHeight="false" outlineLevel="0" collapsed="false">
      <c r="A79" s="15" t="s">
        <v>787</v>
      </c>
      <c r="B79" s="16" t="s">
        <v>754</v>
      </c>
      <c r="C79" s="15" t="s">
        <v>755</v>
      </c>
      <c r="D79" s="16" t="s">
        <v>788</v>
      </c>
      <c r="E79" s="16" t="s">
        <v>789</v>
      </c>
      <c r="F79" s="16" t="s">
        <v>790</v>
      </c>
      <c r="G79" s="16" t="s">
        <v>791</v>
      </c>
      <c r="H79" s="16" t="s">
        <v>68</v>
      </c>
      <c r="I79" s="16" t="s">
        <v>792</v>
      </c>
      <c r="J79" s="16" t="s">
        <v>793</v>
      </c>
      <c r="K79" s="16" t="s">
        <v>617</v>
      </c>
      <c r="L79" s="15" t="s">
        <v>474</v>
      </c>
      <c r="M79" s="16" t="s">
        <v>347</v>
      </c>
      <c r="N79" s="16" t="s">
        <v>248</v>
      </c>
      <c r="O79" s="23" t="n">
        <v>0.8</v>
      </c>
      <c r="P79" s="24" t="n">
        <v>0.3</v>
      </c>
      <c r="Q79" s="17"/>
      <c r="R79" s="18"/>
      <c r="S79" s="16"/>
    </row>
    <row r="80" customFormat="false" ht="23.85" hidden="false" customHeight="false" outlineLevel="0" collapsed="false">
      <c r="A80" s="15" t="s">
        <v>794</v>
      </c>
      <c r="B80" s="16" t="s">
        <v>754</v>
      </c>
      <c r="C80" s="15" t="s">
        <v>755</v>
      </c>
      <c r="D80" s="16" t="s">
        <v>763</v>
      </c>
      <c r="E80" s="16" t="s">
        <v>795</v>
      </c>
      <c r="F80" s="16" t="s">
        <v>796</v>
      </c>
      <c r="G80" s="16" t="s">
        <v>181</v>
      </c>
      <c r="H80" s="16" t="s">
        <v>248</v>
      </c>
      <c r="I80" s="16" t="s">
        <v>797</v>
      </c>
      <c r="J80" s="16" t="s">
        <v>798</v>
      </c>
      <c r="K80" s="16" t="s">
        <v>799</v>
      </c>
      <c r="L80" s="15" t="s">
        <v>287</v>
      </c>
      <c r="M80" s="16" t="s">
        <v>347</v>
      </c>
      <c r="N80" s="16" t="s">
        <v>248</v>
      </c>
      <c r="O80" s="23" t="n">
        <v>0.5</v>
      </c>
      <c r="P80" s="24" t="n">
        <v>0</v>
      </c>
      <c r="Q80" s="17"/>
      <c r="R80" s="18"/>
      <c r="S80" s="16" t="s">
        <v>348</v>
      </c>
    </row>
    <row r="81" customFormat="false" ht="23.85" hidden="false" customHeight="false" outlineLevel="0" collapsed="false">
      <c r="A81" s="15" t="s">
        <v>800</v>
      </c>
      <c r="B81" s="16" t="s">
        <v>801</v>
      </c>
      <c r="C81" s="15" t="s">
        <v>802</v>
      </c>
      <c r="D81" s="16" t="s">
        <v>763</v>
      </c>
      <c r="E81" s="16" t="s">
        <v>803</v>
      </c>
      <c r="F81" s="16" t="s">
        <v>804</v>
      </c>
      <c r="G81" s="16" t="s">
        <v>805</v>
      </c>
      <c r="H81" s="16" t="s">
        <v>248</v>
      </c>
      <c r="I81" s="16" t="s">
        <v>794</v>
      </c>
      <c r="J81" s="16" t="s">
        <v>806</v>
      </c>
      <c r="K81" s="16" t="s">
        <v>807</v>
      </c>
      <c r="L81" s="15" t="s">
        <v>474</v>
      </c>
      <c r="M81" s="16" t="s">
        <v>347</v>
      </c>
      <c r="N81" s="16" t="s">
        <v>248</v>
      </c>
      <c r="O81" s="23" t="n">
        <v>1</v>
      </c>
      <c r="P81" s="24" t="n">
        <v>0.2</v>
      </c>
      <c r="Q81" s="17"/>
      <c r="R81" s="18"/>
      <c r="S81" s="16"/>
    </row>
    <row r="82" customFormat="false" ht="23.85" hidden="false" customHeight="false" outlineLevel="0" collapsed="false">
      <c r="A82" s="15" t="s">
        <v>808</v>
      </c>
      <c r="B82" s="16" t="s">
        <v>801</v>
      </c>
      <c r="C82" s="15" t="s">
        <v>802</v>
      </c>
      <c r="D82" s="16" t="s">
        <v>763</v>
      </c>
      <c r="E82" s="16" t="s">
        <v>809</v>
      </c>
      <c r="F82" s="16" t="s">
        <v>810</v>
      </c>
      <c r="G82" s="16" t="s">
        <v>224</v>
      </c>
      <c r="H82" s="16" t="s">
        <v>174</v>
      </c>
      <c r="I82" s="16" t="s">
        <v>800</v>
      </c>
      <c r="J82" s="16" t="s">
        <v>811</v>
      </c>
      <c r="K82" s="16" t="s">
        <v>807</v>
      </c>
      <c r="L82" s="15" t="s">
        <v>474</v>
      </c>
      <c r="M82" s="16" t="s">
        <v>347</v>
      </c>
      <c r="N82" s="16" t="s">
        <v>248</v>
      </c>
      <c r="O82" s="23" t="n">
        <v>2</v>
      </c>
      <c r="P82" s="24" t="n">
        <v>0.8</v>
      </c>
      <c r="Q82" s="17"/>
      <c r="R82" s="18"/>
      <c r="S82" s="16"/>
    </row>
    <row r="83" customFormat="false" ht="35.05" hidden="false" customHeight="false" outlineLevel="0" collapsed="false">
      <c r="A83" s="15" t="s">
        <v>812</v>
      </c>
      <c r="B83" s="16" t="s">
        <v>801</v>
      </c>
      <c r="C83" s="15" t="s">
        <v>802</v>
      </c>
      <c r="D83" s="16" t="s">
        <v>763</v>
      </c>
      <c r="E83" s="16" t="s">
        <v>813</v>
      </c>
      <c r="F83" s="16" t="s">
        <v>814</v>
      </c>
      <c r="G83" s="16" t="s">
        <v>224</v>
      </c>
      <c r="H83" s="16" t="s">
        <v>68</v>
      </c>
      <c r="I83" s="16" t="s">
        <v>794</v>
      </c>
      <c r="J83" s="16" t="s">
        <v>815</v>
      </c>
      <c r="K83" s="16" t="s">
        <v>816</v>
      </c>
      <c r="L83" s="15" t="s">
        <v>474</v>
      </c>
      <c r="M83" s="16" t="s">
        <v>347</v>
      </c>
      <c r="N83" s="16" t="s">
        <v>248</v>
      </c>
      <c r="O83" s="23" t="n">
        <v>2</v>
      </c>
      <c r="P83" s="24" t="n">
        <v>0.8</v>
      </c>
      <c r="Q83" s="17"/>
      <c r="R83" s="18"/>
      <c r="S83" s="16"/>
    </row>
    <row r="84" customFormat="false" ht="23.85" hidden="false" customHeight="false" outlineLevel="0" collapsed="false">
      <c r="A84" s="15" t="s">
        <v>817</v>
      </c>
      <c r="B84" s="16" t="s">
        <v>801</v>
      </c>
      <c r="C84" s="15" t="s">
        <v>802</v>
      </c>
      <c r="D84" s="16" t="s">
        <v>763</v>
      </c>
      <c r="E84" s="16" t="s">
        <v>818</v>
      </c>
      <c r="F84" s="16" t="s">
        <v>819</v>
      </c>
      <c r="G84" s="16" t="s">
        <v>775</v>
      </c>
      <c r="H84" s="16" t="s">
        <v>174</v>
      </c>
      <c r="I84" s="16" t="s">
        <v>794</v>
      </c>
      <c r="J84" s="16" t="s">
        <v>820</v>
      </c>
      <c r="K84" s="16" t="s">
        <v>248</v>
      </c>
      <c r="L84" s="15" t="s">
        <v>474</v>
      </c>
      <c r="M84" s="16" t="s">
        <v>347</v>
      </c>
      <c r="N84" s="16" t="s">
        <v>248</v>
      </c>
      <c r="O84" s="23" t="n">
        <v>1.5</v>
      </c>
      <c r="P84" s="24" t="n">
        <v>0.6</v>
      </c>
      <c r="Q84" s="17"/>
      <c r="R84" s="18"/>
      <c r="S84" s="16"/>
    </row>
    <row r="85" customFormat="false" ht="23.85" hidden="false" customHeight="false" outlineLevel="0" collapsed="false">
      <c r="A85" s="15" t="s">
        <v>821</v>
      </c>
      <c r="B85" s="16" t="s">
        <v>801</v>
      </c>
      <c r="C85" s="15" t="s">
        <v>802</v>
      </c>
      <c r="D85" s="16" t="s">
        <v>763</v>
      </c>
      <c r="E85" s="16" t="s">
        <v>822</v>
      </c>
      <c r="F85" s="16" t="s">
        <v>823</v>
      </c>
      <c r="G85" s="16" t="s">
        <v>231</v>
      </c>
      <c r="H85" s="16" t="s">
        <v>164</v>
      </c>
      <c r="I85" s="16" t="s">
        <v>824</v>
      </c>
      <c r="J85" s="16" t="s">
        <v>825</v>
      </c>
      <c r="K85" s="16" t="s">
        <v>807</v>
      </c>
      <c r="L85" s="15" t="s">
        <v>474</v>
      </c>
      <c r="M85" s="16" t="s">
        <v>347</v>
      </c>
      <c r="N85" s="16" t="s">
        <v>248</v>
      </c>
      <c r="O85" s="23" t="n">
        <v>1.5</v>
      </c>
      <c r="P85" s="24" t="n">
        <v>0.6</v>
      </c>
      <c r="Q85" s="17"/>
      <c r="R85" s="18"/>
      <c r="S85" s="16"/>
    </row>
    <row r="86" customFormat="false" ht="15" hidden="false" customHeight="false" outlineLevel="0" collapsed="false">
      <c r="A86" s="15" t="s">
        <v>826</v>
      </c>
      <c r="B86" s="16" t="s">
        <v>801</v>
      </c>
      <c r="C86" s="15" t="s">
        <v>802</v>
      </c>
      <c r="D86" s="16" t="s">
        <v>763</v>
      </c>
      <c r="E86" s="16" t="s">
        <v>827</v>
      </c>
      <c r="F86" s="16" t="s">
        <v>828</v>
      </c>
      <c r="G86" s="16" t="s">
        <v>181</v>
      </c>
      <c r="H86" s="16" t="s">
        <v>248</v>
      </c>
      <c r="I86" s="16" t="s">
        <v>821</v>
      </c>
      <c r="J86" s="16" t="s">
        <v>248</v>
      </c>
      <c r="K86" s="16" t="s">
        <v>829</v>
      </c>
      <c r="L86" s="15" t="s">
        <v>474</v>
      </c>
      <c r="M86" s="16" t="s">
        <v>347</v>
      </c>
      <c r="N86" s="16" t="s">
        <v>248</v>
      </c>
      <c r="O86" s="23" t="n">
        <v>0.5</v>
      </c>
      <c r="P86" s="24" t="n">
        <v>0</v>
      </c>
      <c r="Q86" s="17"/>
      <c r="R86" s="18"/>
      <c r="S86" s="16" t="s">
        <v>348</v>
      </c>
    </row>
    <row r="87" customFormat="false" ht="23.85" hidden="false" customHeight="false" outlineLevel="0" collapsed="false">
      <c r="A87" s="15" t="s">
        <v>830</v>
      </c>
      <c r="B87" s="16" t="s">
        <v>831</v>
      </c>
      <c r="C87" s="15" t="s">
        <v>245</v>
      </c>
      <c r="D87" s="16" t="s">
        <v>832</v>
      </c>
      <c r="E87" s="16" t="s">
        <v>833</v>
      </c>
      <c r="F87" s="16" t="s">
        <v>834</v>
      </c>
      <c r="G87" s="16" t="s">
        <v>238</v>
      </c>
      <c r="H87" s="16" t="s">
        <v>68</v>
      </c>
      <c r="I87" s="16" t="s">
        <v>794</v>
      </c>
      <c r="J87" s="16" t="s">
        <v>835</v>
      </c>
      <c r="K87" s="16" t="s">
        <v>836</v>
      </c>
      <c r="L87" s="15" t="s">
        <v>474</v>
      </c>
      <c r="M87" s="16" t="s">
        <v>347</v>
      </c>
      <c r="N87" s="16" t="s">
        <v>248</v>
      </c>
      <c r="O87" s="23" t="n">
        <v>1.5</v>
      </c>
      <c r="P87" s="24" t="n">
        <v>0.6</v>
      </c>
      <c r="Q87" s="17"/>
      <c r="R87" s="18"/>
      <c r="S87" s="16"/>
    </row>
    <row r="88" customFormat="false" ht="23.85" hidden="false" customHeight="false" outlineLevel="0" collapsed="false">
      <c r="A88" s="15" t="s">
        <v>837</v>
      </c>
      <c r="B88" s="16" t="s">
        <v>831</v>
      </c>
      <c r="C88" s="15" t="s">
        <v>245</v>
      </c>
      <c r="D88" s="16" t="s">
        <v>832</v>
      </c>
      <c r="E88" s="16" t="s">
        <v>838</v>
      </c>
      <c r="F88" s="16" t="s">
        <v>839</v>
      </c>
      <c r="G88" s="16" t="s">
        <v>840</v>
      </c>
      <c r="H88" s="16" t="s">
        <v>174</v>
      </c>
      <c r="I88" s="16" t="s">
        <v>841</v>
      </c>
      <c r="J88" s="16" t="s">
        <v>842</v>
      </c>
      <c r="K88" s="16" t="s">
        <v>843</v>
      </c>
      <c r="L88" s="15" t="s">
        <v>474</v>
      </c>
      <c r="M88" s="16" t="s">
        <v>347</v>
      </c>
      <c r="N88" s="16" t="s">
        <v>248</v>
      </c>
      <c r="O88" s="23" t="n">
        <v>1</v>
      </c>
      <c r="P88" s="24" t="n">
        <v>0.4</v>
      </c>
      <c r="Q88" s="17"/>
      <c r="R88" s="18"/>
      <c r="S88" s="16"/>
    </row>
    <row r="89" customFormat="false" ht="23.85" hidden="false" customHeight="false" outlineLevel="0" collapsed="false">
      <c r="A89" s="15" t="s">
        <v>844</v>
      </c>
      <c r="B89" s="16" t="s">
        <v>831</v>
      </c>
      <c r="C89" s="15" t="s">
        <v>245</v>
      </c>
      <c r="D89" s="16" t="s">
        <v>832</v>
      </c>
      <c r="E89" s="16" t="s">
        <v>845</v>
      </c>
      <c r="F89" s="16" t="s">
        <v>846</v>
      </c>
      <c r="G89" s="16" t="s">
        <v>847</v>
      </c>
      <c r="H89" s="16" t="s">
        <v>164</v>
      </c>
      <c r="I89" s="16" t="s">
        <v>848</v>
      </c>
      <c r="J89" s="16" t="s">
        <v>849</v>
      </c>
      <c r="K89" s="16" t="s">
        <v>850</v>
      </c>
      <c r="L89" s="15" t="s">
        <v>474</v>
      </c>
      <c r="M89" s="16" t="s">
        <v>347</v>
      </c>
      <c r="N89" s="16" t="s">
        <v>248</v>
      </c>
      <c r="O89" s="23" t="n">
        <v>1.5</v>
      </c>
      <c r="P89" s="24" t="n">
        <v>0.6</v>
      </c>
      <c r="Q89" s="17"/>
      <c r="R89" s="18"/>
      <c r="S89" s="16"/>
    </row>
    <row r="90" customFormat="false" ht="23.85" hidden="false" customHeight="false" outlineLevel="0" collapsed="false">
      <c r="A90" s="15" t="s">
        <v>851</v>
      </c>
      <c r="B90" s="16" t="s">
        <v>831</v>
      </c>
      <c r="C90" s="15" t="s">
        <v>245</v>
      </c>
      <c r="D90" s="16" t="s">
        <v>832</v>
      </c>
      <c r="E90" s="16" t="s">
        <v>852</v>
      </c>
      <c r="F90" s="16" t="s">
        <v>853</v>
      </c>
      <c r="G90" s="16" t="s">
        <v>854</v>
      </c>
      <c r="H90" s="16" t="s">
        <v>174</v>
      </c>
      <c r="I90" s="16" t="s">
        <v>830</v>
      </c>
      <c r="J90" s="16" t="s">
        <v>855</v>
      </c>
      <c r="K90" s="16" t="s">
        <v>843</v>
      </c>
      <c r="L90" s="15" t="s">
        <v>474</v>
      </c>
      <c r="M90" s="16" t="s">
        <v>347</v>
      </c>
      <c r="N90" s="16" t="s">
        <v>248</v>
      </c>
      <c r="O90" s="23" t="n">
        <v>1.5</v>
      </c>
      <c r="P90" s="24" t="n">
        <v>0.6</v>
      </c>
      <c r="Q90" s="17"/>
      <c r="R90" s="18"/>
      <c r="S90" s="16"/>
    </row>
    <row r="91" customFormat="false" ht="15" hidden="false" customHeight="false" outlineLevel="0" collapsed="false">
      <c r="A91" s="15" t="s">
        <v>856</v>
      </c>
      <c r="B91" s="16" t="s">
        <v>831</v>
      </c>
      <c r="C91" s="15" t="s">
        <v>245</v>
      </c>
      <c r="D91" s="16" t="s">
        <v>832</v>
      </c>
      <c r="E91" s="16" t="s">
        <v>857</v>
      </c>
      <c r="F91" s="16" t="s">
        <v>858</v>
      </c>
      <c r="G91" s="16" t="s">
        <v>238</v>
      </c>
      <c r="H91" s="16" t="s">
        <v>164</v>
      </c>
      <c r="I91" s="16" t="s">
        <v>859</v>
      </c>
      <c r="J91" s="16" t="s">
        <v>860</v>
      </c>
      <c r="K91" s="16" t="s">
        <v>861</v>
      </c>
      <c r="L91" s="15" t="s">
        <v>474</v>
      </c>
      <c r="M91" s="16" t="s">
        <v>347</v>
      </c>
      <c r="N91" s="16" t="s">
        <v>248</v>
      </c>
      <c r="O91" s="23" t="n">
        <v>1.5</v>
      </c>
      <c r="P91" s="24" t="n">
        <v>0.6</v>
      </c>
      <c r="Q91" s="17"/>
      <c r="R91" s="18"/>
      <c r="S91" s="16"/>
    </row>
    <row r="92" customFormat="false" ht="15" hidden="false" customHeight="false" outlineLevel="0" collapsed="false">
      <c r="A92" s="15" t="s">
        <v>862</v>
      </c>
      <c r="B92" s="16" t="s">
        <v>831</v>
      </c>
      <c r="C92" s="15" t="s">
        <v>245</v>
      </c>
      <c r="D92" s="16" t="s">
        <v>832</v>
      </c>
      <c r="E92" s="16" t="s">
        <v>863</v>
      </c>
      <c r="F92" s="16" t="s">
        <v>864</v>
      </c>
      <c r="G92" s="16" t="s">
        <v>181</v>
      </c>
      <c r="H92" s="16" t="s">
        <v>248</v>
      </c>
      <c r="I92" s="16" t="s">
        <v>856</v>
      </c>
      <c r="J92" s="16" t="s">
        <v>248</v>
      </c>
      <c r="K92" s="16" t="s">
        <v>861</v>
      </c>
      <c r="L92" s="15" t="s">
        <v>474</v>
      </c>
      <c r="M92" s="16" t="s">
        <v>347</v>
      </c>
      <c r="N92" s="16" t="s">
        <v>248</v>
      </c>
      <c r="O92" s="23" t="n">
        <v>0.5</v>
      </c>
      <c r="P92" s="24" t="n">
        <v>0</v>
      </c>
      <c r="Q92" s="17"/>
      <c r="R92" s="18"/>
      <c r="S92" s="16" t="s">
        <v>348</v>
      </c>
    </row>
    <row r="93" customFormat="false" ht="46.25" hidden="false" customHeight="false" outlineLevel="0" collapsed="false">
      <c r="A93" s="15" t="s">
        <v>865</v>
      </c>
      <c r="B93" s="16" t="s">
        <v>866</v>
      </c>
      <c r="C93" s="15" t="s">
        <v>867</v>
      </c>
      <c r="D93" s="16" t="s">
        <v>868</v>
      </c>
      <c r="E93" s="16" t="s">
        <v>869</v>
      </c>
      <c r="F93" s="16" t="s">
        <v>870</v>
      </c>
      <c r="G93" s="16" t="s">
        <v>68</v>
      </c>
      <c r="H93" s="16" t="s">
        <v>660</v>
      </c>
      <c r="I93" s="16" t="s">
        <v>871</v>
      </c>
      <c r="J93" s="16" t="s">
        <v>872</v>
      </c>
      <c r="K93" s="16" t="s">
        <v>248</v>
      </c>
      <c r="L93" s="15" t="s">
        <v>474</v>
      </c>
      <c r="M93" s="16" t="s">
        <v>347</v>
      </c>
      <c r="N93" s="16" t="s">
        <v>248</v>
      </c>
      <c r="O93" s="23" t="n">
        <v>1</v>
      </c>
      <c r="P93" s="24" t="n">
        <v>0.4</v>
      </c>
      <c r="Q93" s="17"/>
      <c r="R93" s="18"/>
      <c r="S93" s="16"/>
    </row>
    <row r="94" customFormat="false" ht="35.05" hidden="false" customHeight="false" outlineLevel="0" collapsed="false">
      <c r="A94" s="15" t="s">
        <v>873</v>
      </c>
      <c r="B94" s="16" t="s">
        <v>866</v>
      </c>
      <c r="C94" s="15" t="s">
        <v>867</v>
      </c>
      <c r="D94" s="16" t="s">
        <v>874</v>
      </c>
      <c r="E94" s="16" t="s">
        <v>875</v>
      </c>
      <c r="F94" s="16" t="s">
        <v>876</v>
      </c>
      <c r="G94" s="16" t="s">
        <v>877</v>
      </c>
      <c r="H94" s="16" t="s">
        <v>174</v>
      </c>
      <c r="I94" s="16" t="s">
        <v>865</v>
      </c>
      <c r="J94" s="16" t="s">
        <v>878</v>
      </c>
      <c r="K94" s="16" t="s">
        <v>879</v>
      </c>
      <c r="L94" s="15" t="s">
        <v>287</v>
      </c>
      <c r="M94" s="16" t="s">
        <v>347</v>
      </c>
      <c r="N94" s="16" t="s">
        <v>248</v>
      </c>
      <c r="O94" s="23" t="n">
        <v>2</v>
      </c>
      <c r="P94" s="24" t="n">
        <v>0.8</v>
      </c>
      <c r="Q94" s="17"/>
      <c r="R94" s="18"/>
      <c r="S94" s="16"/>
    </row>
    <row r="95" customFormat="false" ht="23.85" hidden="false" customHeight="false" outlineLevel="0" collapsed="false">
      <c r="A95" s="15" t="s">
        <v>880</v>
      </c>
      <c r="B95" s="16" t="s">
        <v>866</v>
      </c>
      <c r="C95" s="15" t="s">
        <v>867</v>
      </c>
      <c r="D95" s="16" t="s">
        <v>874</v>
      </c>
      <c r="E95" s="16" t="s">
        <v>881</v>
      </c>
      <c r="F95" s="16" t="s">
        <v>882</v>
      </c>
      <c r="G95" s="16" t="s">
        <v>883</v>
      </c>
      <c r="H95" s="16" t="s">
        <v>140</v>
      </c>
      <c r="I95" s="16" t="s">
        <v>865</v>
      </c>
      <c r="J95" s="16" t="s">
        <v>884</v>
      </c>
      <c r="K95" s="16" t="s">
        <v>885</v>
      </c>
      <c r="L95" s="15" t="s">
        <v>474</v>
      </c>
      <c r="M95" s="16" t="s">
        <v>347</v>
      </c>
      <c r="N95" s="16" t="s">
        <v>248</v>
      </c>
      <c r="O95" s="23" t="n">
        <v>1.5</v>
      </c>
      <c r="P95" s="24" t="n">
        <v>0.6</v>
      </c>
      <c r="Q95" s="17"/>
      <c r="R95" s="18"/>
      <c r="S95" s="16"/>
    </row>
    <row r="96" customFormat="false" ht="35.05" hidden="false" customHeight="false" outlineLevel="0" collapsed="false">
      <c r="A96" s="15" t="s">
        <v>886</v>
      </c>
      <c r="B96" s="16" t="s">
        <v>866</v>
      </c>
      <c r="C96" s="15" t="s">
        <v>867</v>
      </c>
      <c r="D96" s="16" t="s">
        <v>874</v>
      </c>
      <c r="E96" s="16" t="s">
        <v>887</v>
      </c>
      <c r="F96" s="16" t="s">
        <v>888</v>
      </c>
      <c r="G96" s="16" t="s">
        <v>883</v>
      </c>
      <c r="H96" s="16" t="s">
        <v>623</v>
      </c>
      <c r="I96" s="16" t="s">
        <v>880</v>
      </c>
      <c r="J96" s="16" t="s">
        <v>889</v>
      </c>
      <c r="K96" s="16" t="s">
        <v>885</v>
      </c>
      <c r="L96" s="15" t="s">
        <v>474</v>
      </c>
      <c r="M96" s="16" t="s">
        <v>347</v>
      </c>
      <c r="N96" s="16" t="s">
        <v>248</v>
      </c>
      <c r="O96" s="23" t="n">
        <v>1.5</v>
      </c>
      <c r="P96" s="24" t="n">
        <v>0.6</v>
      </c>
      <c r="Q96" s="17"/>
      <c r="R96" s="18"/>
      <c r="S96" s="16" t="s">
        <v>890</v>
      </c>
    </row>
    <row r="97" customFormat="false" ht="23.85" hidden="false" customHeight="false" outlineLevel="0" collapsed="false">
      <c r="A97" s="15" t="s">
        <v>891</v>
      </c>
      <c r="B97" s="16" t="s">
        <v>866</v>
      </c>
      <c r="C97" s="15" t="s">
        <v>867</v>
      </c>
      <c r="D97" s="16" t="s">
        <v>892</v>
      </c>
      <c r="E97" s="16" t="s">
        <v>893</v>
      </c>
      <c r="F97" s="16" t="s">
        <v>894</v>
      </c>
      <c r="G97" s="16" t="s">
        <v>895</v>
      </c>
      <c r="H97" s="16" t="s">
        <v>68</v>
      </c>
      <c r="I97" s="16" t="s">
        <v>865</v>
      </c>
      <c r="J97" s="16" t="s">
        <v>896</v>
      </c>
      <c r="K97" s="16" t="s">
        <v>897</v>
      </c>
      <c r="L97" s="15" t="s">
        <v>474</v>
      </c>
      <c r="M97" s="16" t="s">
        <v>347</v>
      </c>
      <c r="N97" s="16" t="s">
        <v>248</v>
      </c>
      <c r="O97" s="23" t="n">
        <v>2</v>
      </c>
      <c r="P97" s="24" t="n">
        <v>0.8</v>
      </c>
      <c r="Q97" s="17"/>
      <c r="R97" s="18"/>
      <c r="S97" s="16"/>
    </row>
    <row r="98" customFormat="false" ht="23.85" hidden="false" customHeight="false" outlineLevel="0" collapsed="false">
      <c r="A98" s="15" t="s">
        <v>898</v>
      </c>
      <c r="B98" s="16" t="s">
        <v>866</v>
      </c>
      <c r="C98" s="15" t="s">
        <v>867</v>
      </c>
      <c r="D98" s="16" t="s">
        <v>892</v>
      </c>
      <c r="E98" s="16" t="s">
        <v>899</v>
      </c>
      <c r="F98" s="16" t="s">
        <v>900</v>
      </c>
      <c r="G98" s="16" t="s">
        <v>140</v>
      </c>
      <c r="H98" s="16" t="s">
        <v>174</v>
      </c>
      <c r="I98" s="16" t="s">
        <v>891</v>
      </c>
      <c r="J98" s="16" t="s">
        <v>901</v>
      </c>
      <c r="K98" s="16" t="s">
        <v>902</v>
      </c>
      <c r="L98" s="15" t="s">
        <v>287</v>
      </c>
      <c r="M98" s="16" t="s">
        <v>347</v>
      </c>
      <c r="N98" s="16" t="s">
        <v>248</v>
      </c>
      <c r="O98" s="23" t="n">
        <v>1.5</v>
      </c>
      <c r="P98" s="24" t="n">
        <v>0.6</v>
      </c>
      <c r="Q98" s="17"/>
      <c r="R98" s="18"/>
      <c r="S98" s="16"/>
    </row>
    <row r="99" customFormat="false" ht="23.85" hidden="false" customHeight="false" outlineLevel="0" collapsed="false">
      <c r="A99" s="15" t="s">
        <v>903</v>
      </c>
      <c r="B99" s="16" t="s">
        <v>866</v>
      </c>
      <c r="C99" s="15" t="s">
        <v>867</v>
      </c>
      <c r="D99" s="16" t="s">
        <v>892</v>
      </c>
      <c r="E99" s="16" t="s">
        <v>904</v>
      </c>
      <c r="F99" s="16" t="s">
        <v>905</v>
      </c>
      <c r="G99" s="16" t="s">
        <v>906</v>
      </c>
      <c r="H99" s="16" t="s">
        <v>140</v>
      </c>
      <c r="I99" s="16" t="s">
        <v>891</v>
      </c>
      <c r="J99" s="16" t="s">
        <v>907</v>
      </c>
      <c r="K99" s="16" t="s">
        <v>908</v>
      </c>
      <c r="L99" s="15" t="s">
        <v>287</v>
      </c>
      <c r="M99" s="16" t="s">
        <v>347</v>
      </c>
      <c r="N99" s="16" t="s">
        <v>248</v>
      </c>
      <c r="O99" s="23" t="n">
        <v>1</v>
      </c>
      <c r="P99" s="24" t="n">
        <v>0.4</v>
      </c>
      <c r="Q99" s="17"/>
      <c r="R99" s="18"/>
      <c r="S99" s="16"/>
    </row>
    <row r="100" customFormat="false" ht="35.05" hidden="false" customHeight="false" outlineLevel="0" collapsed="false">
      <c r="A100" s="15" t="s">
        <v>909</v>
      </c>
      <c r="B100" s="16" t="s">
        <v>866</v>
      </c>
      <c r="C100" s="15" t="s">
        <v>867</v>
      </c>
      <c r="D100" s="16" t="s">
        <v>910</v>
      </c>
      <c r="E100" s="16" t="s">
        <v>911</v>
      </c>
      <c r="F100" s="16" t="s">
        <v>912</v>
      </c>
      <c r="G100" s="16" t="s">
        <v>913</v>
      </c>
      <c r="H100" s="16" t="s">
        <v>623</v>
      </c>
      <c r="I100" s="16" t="s">
        <v>865</v>
      </c>
      <c r="J100" s="16" t="s">
        <v>914</v>
      </c>
      <c r="K100" s="16" t="s">
        <v>915</v>
      </c>
      <c r="L100" s="15" t="s">
        <v>474</v>
      </c>
      <c r="M100" s="16" t="s">
        <v>347</v>
      </c>
      <c r="N100" s="16" t="s">
        <v>248</v>
      </c>
      <c r="O100" s="23" t="n">
        <v>2.5</v>
      </c>
      <c r="P100" s="24" t="n">
        <v>1</v>
      </c>
      <c r="Q100" s="17"/>
      <c r="R100" s="18"/>
      <c r="S100" s="16" t="s">
        <v>916</v>
      </c>
    </row>
    <row r="101" customFormat="false" ht="23.85" hidden="false" customHeight="false" outlineLevel="0" collapsed="false">
      <c r="A101" s="15" t="s">
        <v>917</v>
      </c>
      <c r="B101" s="16" t="s">
        <v>866</v>
      </c>
      <c r="C101" s="15" t="s">
        <v>867</v>
      </c>
      <c r="D101" s="16" t="s">
        <v>910</v>
      </c>
      <c r="E101" s="16" t="s">
        <v>918</v>
      </c>
      <c r="F101" s="16" t="s">
        <v>919</v>
      </c>
      <c r="G101" s="16" t="s">
        <v>920</v>
      </c>
      <c r="H101" s="16" t="s">
        <v>623</v>
      </c>
      <c r="I101" s="16" t="s">
        <v>865</v>
      </c>
      <c r="J101" s="16" t="s">
        <v>921</v>
      </c>
      <c r="K101" s="16" t="s">
        <v>922</v>
      </c>
      <c r="L101" s="15" t="s">
        <v>474</v>
      </c>
      <c r="M101" s="16" t="s">
        <v>347</v>
      </c>
      <c r="N101" s="16" t="s">
        <v>248</v>
      </c>
      <c r="O101" s="23" t="n">
        <v>1</v>
      </c>
      <c r="P101" s="24" t="n">
        <v>0.4</v>
      </c>
      <c r="Q101" s="17"/>
      <c r="R101" s="18"/>
      <c r="S101" s="16" t="s">
        <v>923</v>
      </c>
    </row>
    <row r="102" customFormat="false" ht="23.85" hidden="false" customHeight="false" outlineLevel="0" collapsed="false">
      <c r="A102" s="15" t="s">
        <v>924</v>
      </c>
      <c r="B102" s="16" t="s">
        <v>866</v>
      </c>
      <c r="C102" s="15" t="s">
        <v>867</v>
      </c>
      <c r="D102" s="16" t="s">
        <v>910</v>
      </c>
      <c r="E102" s="16" t="s">
        <v>925</v>
      </c>
      <c r="F102" s="16" t="s">
        <v>926</v>
      </c>
      <c r="G102" s="16" t="s">
        <v>927</v>
      </c>
      <c r="H102" s="16" t="s">
        <v>68</v>
      </c>
      <c r="I102" s="16" t="s">
        <v>865</v>
      </c>
      <c r="J102" s="16" t="s">
        <v>928</v>
      </c>
      <c r="K102" s="16" t="s">
        <v>929</v>
      </c>
      <c r="L102" s="15" t="s">
        <v>474</v>
      </c>
      <c r="M102" s="16" t="s">
        <v>347</v>
      </c>
      <c r="N102" s="16" t="s">
        <v>248</v>
      </c>
      <c r="O102" s="23" t="n">
        <v>2</v>
      </c>
      <c r="P102" s="24" t="n">
        <v>0.8</v>
      </c>
      <c r="Q102" s="17"/>
      <c r="R102" s="18"/>
      <c r="S102" s="16"/>
    </row>
    <row r="103" customFormat="false" ht="23.85" hidden="false" customHeight="false" outlineLevel="0" collapsed="false">
      <c r="A103" s="15" t="s">
        <v>930</v>
      </c>
      <c r="B103" s="16" t="s">
        <v>866</v>
      </c>
      <c r="C103" s="15" t="s">
        <v>867</v>
      </c>
      <c r="D103" s="16" t="s">
        <v>892</v>
      </c>
      <c r="E103" s="16" t="s">
        <v>931</v>
      </c>
      <c r="F103" s="16" t="s">
        <v>932</v>
      </c>
      <c r="G103" s="16" t="s">
        <v>644</v>
      </c>
      <c r="H103" s="16" t="s">
        <v>68</v>
      </c>
      <c r="I103" s="16" t="s">
        <v>898</v>
      </c>
      <c r="J103" s="16" t="s">
        <v>933</v>
      </c>
      <c r="K103" s="16" t="s">
        <v>908</v>
      </c>
      <c r="L103" s="15" t="s">
        <v>647</v>
      </c>
      <c r="M103" s="16" t="s">
        <v>347</v>
      </c>
      <c r="N103" s="16" t="s">
        <v>248</v>
      </c>
      <c r="O103" s="23" t="n">
        <v>1.5</v>
      </c>
      <c r="P103" s="24" t="n">
        <v>0.6</v>
      </c>
      <c r="Q103" s="17"/>
      <c r="R103" s="18"/>
      <c r="S103" s="16"/>
    </row>
    <row r="104" customFormat="false" ht="35.05" hidden="false" customHeight="false" outlineLevel="0" collapsed="false">
      <c r="A104" s="15" t="s">
        <v>934</v>
      </c>
      <c r="B104" s="16" t="s">
        <v>866</v>
      </c>
      <c r="C104" s="15" t="s">
        <v>867</v>
      </c>
      <c r="D104" s="16" t="s">
        <v>892</v>
      </c>
      <c r="E104" s="16" t="s">
        <v>935</v>
      </c>
      <c r="F104" s="16" t="s">
        <v>936</v>
      </c>
      <c r="G104" s="16" t="s">
        <v>192</v>
      </c>
      <c r="H104" s="16" t="s">
        <v>181</v>
      </c>
      <c r="I104" s="16" t="s">
        <v>891</v>
      </c>
      <c r="J104" s="16" t="s">
        <v>937</v>
      </c>
      <c r="K104" s="16" t="s">
        <v>248</v>
      </c>
      <c r="L104" s="15" t="s">
        <v>474</v>
      </c>
      <c r="M104" s="16" t="s">
        <v>347</v>
      </c>
      <c r="N104" s="16" t="s">
        <v>248</v>
      </c>
      <c r="O104" s="23" t="n">
        <v>1.5</v>
      </c>
      <c r="P104" s="24" t="n">
        <v>0.5</v>
      </c>
      <c r="Q104" s="17"/>
      <c r="R104" s="18"/>
      <c r="S104" s="16"/>
    </row>
    <row r="105" customFormat="false" ht="35.05" hidden="false" customHeight="false" outlineLevel="0" collapsed="false">
      <c r="A105" s="15" t="s">
        <v>938</v>
      </c>
      <c r="B105" s="16" t="s">
        <v>866</v>
      </c>
      <c r="C105" s="15" t="s">
        <v>867</v>
      </c>
      <c r="D105" s="16" t="s">
        <v>892</v>
      </c>
      <c r="E105" s="16" t="s">
        <v>939</v>
      </c>
      <c r="F105" s="16" t="s">
        <v>940</v>
      </c>
      <c r="G105" s="16" t="s">
        <v>740</v>
      </c>
      <c r="H105" s="16" t="s">
        <v>174</v>
      </c>
      <c r="I105" s="16" t="s">
        <v>941</v>
      </c>
      <c r="J105" s="16" t="s">
        <v>942</v>
      </c>
      <c r="K105" s="16" t="s">
        <v>902</v>
      </c>
      <c r="L105" s="15" t="s">
        <v>474</v>
      </c>
      <c r="M105" s="16" t="s">
        <v>347</v>
      </c>
      <c r="N105" s="16" t="s">
        <v>248</v>
      </c>
      <c r="O105" s="23" t="n">
        <v>1</v>
      </c>
      <c r="P105" s="24" t="n">
        <v>0.4</v>
      </c>
      <c r="Q105" s="17"/>
      <c r="R105" s="18"/>
      <c r="S105" s="16"/>
    </row>
    <row r="106" customFormat="false" ht="35.05" hidden="false" customHeight="false" outlineLevel="0" collapsed="false">
      <c r="A106" s="15" t="s">
        <v>943</v>
      </c>
      <c r="B106" s="16" t="s">
        <v>866</v>
      </c>
      <c r="C106" s="15" t="s">
        <v>867</v>
      </c>
      <c r="D106" s="16" t="s">
        <v>868</v>
      </c>
      <c r="E106" s="16" t="s">
        <v>944</v>
      </c>
      <c r="F106" s="16" t="s">
        <v>945</v>
      </c>
      <c r="G106" s="16" t="s">
        <v>946</v>
      </c>
      <c r="H106" s="16" t="s">
        <v>248</v>
      </c>
      <c r="I106" s="16" t="s">
        <v>947</v>
      </c>
      <c r="J106" s="16" t="s">
        <v>248</v>
      </c>
      <c r="K106" s="16" t="s">
        <v>948</v>
      </c>
      <c r="L106" s="15" t="s">
        <v>474</v>
      </c>
      <c r="M106" s="16" t="s">
        <v>347</v>
      </c>
      <c r="N106" s="16" t="s">
        <v>248</v>
      </c>
      <c r="O106" s="23" t="n">
        <v>0.5</v>
      </c>
      <c r="P106" s="24" t="n">
        <v>0</v>
      </c>
      <c r="Q106" s="17"/>
      <c r="R106" s="18"/>
      <c r="S106" s="16" t="s">
        <v>348</v>
      </c>
    </row>
    <row r="107" customFormat="false" ht="23.85" hidden="false" customHeight="false" outlineLevel="0" collapsed="false">
      <c r="A107" s="15" t="s">
        <v>949</v>
      </c>
      <c r="B107" s="16" t="s">
        <v>950</v>
      </c>
      <c r="C107" s="15" t="s">
        <v>951</v>
      </c>
      <c r="D107" s="16" t="s">
        <v>910</v>
      </c>
      <c r="E107" s="16" t="s">
        <v>952</v>
      </c>
      <c r="F107" s="16" t="s">
        <v>953</v>
      </c>
      <c r="G107" s="16" t="s">
        <v>954</v>
      </c>
      <c r="H107" s="16" t="s">
        <v>174</v>
      </c>
      <c r="I107" s="16" t="s">
        <v>943</v>
      </c>
      <c r="J107" s="16" t="s">
        <v>955</v>
      </c>
      <c r="K107" s="16" t="s">
        <v>248</v>
      </c>
      <c r="L107" s="15" t="s">
        <v>647</v>
      </c>
      <c r="M107" s="16" t="s">
        <v>347</v>
      </c>
      <c r="N107" s="16" t="s">
        <v>248</v>
      </c>
      <c r="O107" s="23" t="n">
        <v>0.5</v>
      </c>
      <c r="P107" s="24" t="n">
        <v>0.2</v>
      </c>
      <c r="Q107" s="17"/>
      <c r="R107" s="18"/>
      <c r="S107" s="16" t="s">
        <v>956</v>
      </c>
    </row>
    <row r="108" customFormat="false" ht="23.85" hidden="false" customHeight="false" outlineLevel="0" collapsed="false">
      <c r="A108" s="15" t="s">
        <v>957</v>
      </c>
      <c r="B108" s="16" t="s">
        <v>950</v>
      </c>
      <c r="C108" s="15" t="s">
        <v>951</v>
      </c>
      <c r="D108" s="16" t="s">
        <v>910</v>
      </c>
      <c r="E108" s="16" t="s">
        <v>958</v>
      </c>
      <c r="F108" s="16" t="s">
        <v>959</v>
      </c>
      <c r="G108" s="16" t="s">
        <v>960</v>
      </c>
      <c r="H108" s="16" t="s">
        <v>623</v>
      </c>
      <c r="I108" s="16" t="s">
        <v>949</v>
      </c>
      <c r="J108" s="16" t="s">
        <v>961</v>
      </c>
      <c r="K108" s="16" t="s">
        <v>922</v>
      </c>
      <c r="L108" s="15" t="s">
        <v>647</v>
      </c>
      <c r="M108" s="16" t="s">
        <v>347</v>
      </c>
      <c r="N108" s="16" t="s">
        <v>248</v>
      </c>
      <c r="O108" s="23" t="n">
        <v>2</v>
      </c>
      <c r="P108" s="24" t="n">
        <v>0.8</v>
      </c>
      <c r="Q108" s="17"/>
      <c r="R108" s="18"/>
      <c r="S108" s="16" t="s">
        <v>962</v>
      </c>
    </row>
    <row r="109" customFormat="false" ht="23.85" hidden="false" customHeight="false" outlineLevel="0" collapsed="false">
      <c r="A109" s="15" t="s">
        <v>963</v>
      </c>
      <c r="B109" s="16" t="s">
        <v>950</v>
      </c>
      <c r="C109" s="15" t="s">
        <v>951</v>
      </c>
      <c r="D109" s="16" t="s">
        <v>910</v>
      </c>
      <c r="E109" s="16" t="s">
        <v>964</v>
      </c>
      <c r="F109" s="16" t="s">
        <v>965</v>
      </c>
      <c r="G109" s="16" t="s">
        <v>80</v>
      </c>
      <c r="H109" s="16" t="s">
        <v>623</v>
      </c>
      <c r="I109" s="16" t="s">
        <v>957</v>
      </c>
      <c r="J109" s="16" t="s">
        <v>966</v>
      </c>
      <c r="K109" s="16" t="s">
        <v>922</v>
      </c>
      <c r="L109" s="15" t="s">
        <v>647</v>
      </c>
      <c r="M109" s="16" t="s">
        <v>347</v>
      </c>
      <c r="N109" s="16" t="s">
        <v>248</v>
      </c>
      <c r="O109" s="23" t="n">
        <v>1.5</v>
      </c>
      <c r="P109" s="24" t="n">
        <v>0.6</v>
      </c>
      <c r="Q109" s="17"/>
      <c r="R109" s="18"/>
      <c r="S109" s="16" t="s">
        <v>967</v>
      </c>
    </row>
    <row r="110" customFormat="false" ht="15" hidden="false" customHeight="false" outlineLevel="0" collapsed="false">
      <c r="A110" s="15" t="s">
        <v>968</v>
      </c>
      <c r="B110" s="16" t="s">
        <v>950</v>
      </c>
      <c r="C110" s="15" t="s">
        <v>951</v>
      </c>
      <c r="D110" s="16" t="s">
        <v>910</v>
      </c>
      <c r="E110" s="16" t="s">
        <v>969</v>
      </c>
      <c r="F110" s="16" t="s">
        <v>970</v>
      </c>
      <c r="G110" s="16" t="s">
        <v>101</v>
      </c>
      <c r="H110" s="16" t="s">
        <v>623</v>
      </c>
      <c r="I110" s="16" t="s">
        <v>949</v>
      </c>
      <c r="J110" s="16" t="s">
        <v>971</v>
      </c>
      <c r="K110" s="16" t="s">
        <v>922</v>
      </c>
      <c r="L110" s="15" t="s">
        <v>647</v>
      </c>
      <c r="M110" s="16" t="s">
        <v>347</v>
      </c>
      <c r="N110" s="16" t="s">
        <v>248</v>
      </c>
      <c r="O110" s="23" t="n">
        <v>2</v>
      </c>
      <c r="P110" s="24" t="n">
        <v>0.8</v>
      </c>
      <c r="Q110" s="17"/>
      <c r="R110" s="18"/>
      <c r="S110" s="16"/>
    </row>
    <row r="111" customFormat="false" ht="23.85" hidden="false" customHeight="false" outlineLevel="0" collapsed="false">
      <c r="A111" s="15" t="s">
        <v>972</v>
      </c>
      <c r="B111" s="16" t="s">
        <v>950</v>
      </c>
      <c r="C111" s="15" t="s">
        <v>951</v>
      </c>
      <c r="D111" s="16" t="s">
        <v>910</v>
      </c>
      <c r="E111" s="16" t="s">
        <v>973</v>
      </c>
      <c r="F111" s="16" t="s">
        <v>974</v>
      </c>
      <c r="G111" s="16" t="s">
        <v>975</v>
      </c>
      <c r="H111" s="16" t="s">
        <v>174</v>
      </c>
      <c r="I111" s="16" t="s">
        <v>949</v>
      </c>
      <c r="J111" s="16" t="s">
        <v>976</v>
      </c>
      <c r="K111" s="16" t="s">
        <v>922</v>
      </c>
      <c r="L111" s="15" t="s">
        <v>647</v>
      </c>
      <c r="M111" s="16" t="s">
        <v>347</v>
      </c>
      <c r="N111" s="16" t="s">
        <v>248</v>
      </c>
      <c r="O111" s="23" t="n">
        <v>1.5</v>
      </c>
      <c r="P111" s="24" t="n">
        <v>0.4</v>
      </c>
      <c r="Q111" s="17"/>
      <c r="R111" s="18"/>
      <c r="S111" s="16"/>
    </row>
    <row r="112" customFormat="false" ht="23.85" hidden="false" customHeight="false" outlineLevel="0" collapsed="false">
      <c r="A112" s="15" t="s">
        <v>977</v>
      </c>
      <c r="B112" s="16" t="s">
        <v>950</v>
      </c>
      <c r="C112" s="15" t="s">
        <v>951</v>
      </c>
      <c r="D112" s="16" t="s">
        <v>910</v>
      </c>
      <c r="E112" s="16" t="s">
        <v>978</v>
      </c>
      <c r="F112" s="16" t="s">
        <v>979</v>
      </c>
      <c r="G112" s="16" t="s">
        <v>920</v>
      </c>
      <c r="H112" s="16" t="s">
        <v>174</v>
      </c>
      <c r="I112" s="16" t="s">
        <v>957</v>
      </c>
      <c r="J112" s="16" t="s">
        <v>980</v>
      </c>
      <c r="K112" s="16" t="s">
        <v>922</v>
      </c>
      <c r="L112" s="15" t="s">
        <v>647</v>
      </c>
      <c r="M112" s="16" t="s">
        <v>347</v>
      </c>
      <c r="N112" s="16" t="s">
        <v>248</v>
      </c>
      <c r="O112" s="23" t="n">
        <v>1</v>
      </c>
      <c r="P112" s="24" t="n">
        <v>0.4</v>
      </c>
      <c r="Q112" s="17"/>
      <c r="R112" s="18"/>
      <c r="S112" s="16"/>
    </row>
    <row r="113" customFormat="false" ht="23.85" hidden="false" customHeight="false" outlineLevel="0" collapsed="false">
      <c r="A113" s="15" t="s">
        <v>981</v>
      </c>
      <c r="B113" s="16" t="s">
        <v>950</v>
      </c>
      <c r="C113" s="15" t="s">
        <v>951</v>
      </c>
      <c r="D113" s="16" t="s">
        <v>874</v>
      </c>
      <c r="E113" s="16" t="s">
        <v>982</v>
      </c>
      <c r="F113" s="16" t="s">
        <v>983</v>
      </c>
      <c r="G113" s="16" t="s">
        <v>883</v>
      </c>
      <c r="H113" s="16" t="s">
        <v>174</v>
      </c>
      <c r="I113" s="16" t="s">
        <v>943</v>
      </c>
      <c r="J113" s="16" t="s">
        <v>984</v>
      </c>
      <c r="K113" s="16" t="s">
        <v>248</v>
      </c>
      <c r="L113" s="15" t="s">
        <v>647</v>
      </c>
      <c r="M113" s="16" t="s">
        <v>347</v>
      </c>
      <c r="N113" s="16" t="s">
        <v>248</v>
      </c>
      <c r="O113" s="23" t="n">
        <v>2</v>
      </c>
      <c r="P113" s="24" t="n">
        <v>0.8</v>
      </c>
      <c r="Q113" s="17"/>
      <c r="R113" s="18"/>
      <c r="S113" s="16"/>
    </row>
    <row r="114" customFormat="false" ht="15" hidden="false" customHeight="false" outlineLevel="0" collapsed="false">
      <c r="A114" s="15" t="s">
        <v>985</v>
      </c>
      <c r="B114" s="16" t="s">
        <v>950</v>
      </c>
      <c r="C114" s="15" t="s">
        <v>951</v>
      </c>
      <c r="D114" s="16" t="s">
        <v>910</v>
      </c>
      <c r="E114" s="16" t="s">
        <v>986</v>
      </c>
      <c r="F114" s="16" t="s">
        <v>987</v>
      </c>
      <c r="G114" s="16" t="s">
        <v>164</v>
      </c>
      <c r="H114" s="16" t="s">
        <v>181</v>
      </c>
      <c r="I114" s="16" t="s">
        <v>988</v>
      </c>
      <c r="J114" s="16" t="s">
        <v>989</v>
      </c>
      <c r="K114" s="16" t="s">
        <v>990</v>
      </c>
      <c r="L114" s="15" t="s">
        <v>647</v>
      </c>
      <c r="M114" s="16" t="s">
        <v>347</v>
      </c>
      <c r="N114" s="16" t="s">
        <v>248</v>
      </c>
      <c r="O114" s="23" t="n">
        <v>1</v>
      </c>
      <c r="P114" s="24" t="n">
        <v>0.3</v>
      </c>
      <c r="Q114" s="17"/>
      <c r="R114" s="18"/>
      <c r="S114" s="16"/>
    </row>
    <row r="115" customFormat="false" ht="35.05" hidden="false" customHeight="false" outlineLevel="0" collapsed="false">
      <c r="A115" s="15" t="s">
        <v>991</v>
      </c>
      <c r="B115" s="16" t="s">
        <v>950</v>
      </c>
      <c r="C115" s="15" t="s">
        <v>951</v>
      </c>
      <c r="D115" s="16" t="s">
        <v>892</v>
      </c>
      <c r="E115" s="16" t="s">
        <v>992</v>
      </c>
      <c r="F115" s="16" t="s">
        <v>993</v>
      </c>
      <c r="G115" s="16" t="s">
        <v>192</v>
      </c>
      <c r="H115" s="16" t="s">
        <v>181</v>
      </c>
      <c r="I115" s="16" t="s">
        <v>943</v>
      </c>
      <c r="J115" s="16" t="s">
        <v>994</v>
      </c>
      <c r="K115" s="16" t="s">
        <v>248</v>
      </c>
      <c r="L115" s="15" t="s">
        <v>647</v>
      </c>
      <c r="M115" s="16" t="s">
        <v>347</v>
      </c>
      <c r="N115" s="16" t="s">
        <v>248</v>
      </c>
      <c r="O115" s="23" t="n">
        <v>2</v>
      </c>
      <c r="P115" s="24" t="n">
        <v>0.7</v>
      </c>
      <c r="Q115" s="17"/>
      <c r="R115" s="18"/>
      <c r="S115" s="16"/>
    </row>
    <row r="116" customFormat="false" ht="23.85" hidden="false" customHeight="false" outlineLevel="0" collapsed="false">
      <c r="A116" s="15" t="s">
        <v>995</v>
      </c>
      <c r="B116" s="16" t="s">
        <v>950</v>
      </c>
      <c r="C116" s="15" t="s">
        <v>951</v>
      </c>
      <c r="D116" s="16" t="s">
        <v>910</v>
      </c>
      <c r="E116" s="16" t="s">
        <v>996</v>
      </c>
      <c r="F116" s="16" t="s">
        <v>997</v>
      </c>
      <c r="G116" s="16" t="s">
        <v>946</v>
      </c>
      <c r="H116" s="16" t="s">
        <v>248</v>
      </c>
      <c r="I116" s="16" t="s">
        <v>998</v>
      </c>
      <c r="J116" s="16" t="s">
        <v>248</v>
      </c>
      <c r="K116" s="16" t="s">
        <v>999</v>
      </c>
      <c r="L116" s="15" t="s">
        <v>647</v>
      </c>
      <c r="M116" s="16" t="s">
        <v>347</v>
      </c>
      <c r="N116" s="16" t="s">
        <v>248</v>
      </c>
      <c r="O116" s="23" t="n">
        <v>0.5</v>
      </c>
      <c r="P116" s="24" t="n">
        <v>0</v>
      </c>
      <c r="Q116" s="17"/>
      <c r="R116" s="18"/>
      <c r="S116" s="16" t="s">
        <v>348</v>
      </c>
    </row>
    <row r="117" customFormat="false" ht="57.45" hidden="false" customHeight="false" outlineLevel="0" collapsed="false">
      <c r="A117" s="15" t="s">
        <v>1000</v>
      </c>
      <c r="B117" s="16" t="s">
        <v>1001</v>
      </c>
      <c r="C117" s="15" t="s">
        <v>1002</v>
      </c>
      <c r="D117" s="16" t="s">
        <v>1003</v>
      </c>
      <c r="E117" s="16" t="s">
        <v>1004</v>
      </c>
      <c r="F117" s="16" t="s">
        <v>1005</v>
      </c>
      <c r="G117" s="16" t="s">
        <v>594</v>
      </c>
      <c r="H117" s="16" t="s">
        <v>623</v>
      </c>
      <c r="I117" s="16" t="s">
        <v>1006</v>
      </c>
      <c r="J117" s="16" t="s">
        <v>1007</v>
      </c>
      <c r="K117" s="16" t="s">
        <v>1008</v>
      </c>
      <c r="L117" s="15" t="s">
        <v>287</v>
      </c>
      <c r="M117" s="16" t="s">
        <v>347</v>
      </c>
      <c r="N117" s="16" t="s">
        <v>248</v>
      </c>
      <c r="O117" s="23" t="n">
        <v>2.5</v>
      </c>
      <c r="P117" s="24" t="n">
        <v>1</v>
      </c>
      <c r="Q117" s="17"/>
      <c r="R117" s="18"/>
      <c r="S117" s="16" t="s">
        <v>1009</v>
      </c>
    </row>
    <row r="118" customFormat="false" ht="23.85" hidden="false" customHeight="false" outlineLevel="0" collapsed="false">
      <c r="A118" s="15" t="s">
        <v>1010</v>
      </c>
      <c r="B118" s="16" t="s">
        <v>1001</v>
      </c>
      <c r="C118" s="15" t="s">
        <v>1002</v>
      </c>
      <c r="D118" s="16" t="s">
        <v>1003</v>
      </c>
      <c r="E118" s="16" t="s">
        <v>1011</v>
      </c>
      <c r="F118" s="16" t="s">
        <v>1012</v>
      </c>
      <c r="G118" s="16" t="s">
        <v>101</v>
      </c>
      <c r="H118" s="16" t="s">
        <v>140</v>
      </c>
      <c r="I118" s="16" t="s">
        <v>1000</v>
      </c>
      <c r="J118" s="16" t="s">
        <v>1013</v>
      </c>
      <c r="K118" s="16" t="s">
        <v>1008</v>
      </c>
      <c r="L118" s="15" t="s">
        <v>474</v>
      </c>
      <c r="M118" s="16" t="s">
        <v>347</v>
      </c>
      <c r="N118" s="16" t="s">
        <v>248</v>
      </c>
      <c r="O118" s="23" t="n">
        <v>1.5</v>
      </c>
      <c r="P118" s="24" t="n">
        <v>0.6</v>
      </c>
      <c r="Q118" s="17"/>
      <c r="R118" s="18"/>
      <c r="S118" s="16"/>
    </row>
    <row r="119" customFormat="false" ht="23.85" hidden="false" customHeight="false" outlineLevel="0" collapsed="false">
      <c r="A119" s="15" t="s">
        <v>1014</v>
      </c>
      <c r="B119" s="16" t="s">
        <v>1001</v>
      </c>
      <c r="C119" s="15" t="s">
        <v>1002</v>
      </c>
      <c r="D119" s="16" t="s">
        <v>1003</v>
      </c>
      <c r="E119" s="16" t="s">
        <v>1015</v>
      </c>
      <c r="F119" s="16" t="s">
        <v>1012</v>
      </c>
      <c r="G119" s="16" t="s">
        <v>101</v>
      </c>
      <c r="H119" s="16" t="s">
        <v>140</v>
      </c>
      <c r="I119" s="16" t="s">
        <v>1000</v>
      </c>
      <c r="J119" s="16" t="s">
        <v>1013</v>
      </c>
      <c r="K119" s="16" t="s">
        <v>1008</v>
      </c>
      <c r="L119" s="15" t="s">
        <v>474</v>
      </c>
      <c r="M119" s="16" t="s">
        <v>347</v>
      </c>
      <c r="N119" s="16" t="s">
        <v>248</v>
      </c>
      <c r="O119" s="23" t="n">
        <v>1.5</v>
      </c>
      <c r="P119" s="24" t="n">
        <v>0.6</v>
      </c>
      <c r="Q119" s="17"/>
      <c r="R119" s="18"/>
      <c r="S119" s="16"/>
    </row>
    <row r="120" customFormat="false" ht="23.85" hidden="false" customHeight="false" outlineLevel="0" collapsed="false">
      <c r="A120" s="15" t="s">
        <v>1016</v>
      </c>
      <c r="B120" s="16" t="s">
        <v>1001</v>
      </c>
      <c r="C120" s="15" t="s">
        <v>1002</v>
      </c>
      <c r="D120" s="16" t="s">
        <v>1003</v>
      </c>
      <c r="E120" s="16" t="s">
        <v>1017</v>
      </c>
      <c r="F120" s="16" t="s">
        <v>1012</v>
      </c>
      <c r="G120" s="16" t="s">
        <v>101</v>
      </c>
      <c r="H120" s="16" t="s">
        <v>140</v>
      </c>
      <c r="I120" s="16" t="s">
        <v>1000</v>
      </c>
      <c r="J120" s="16" t="s">
        <v>1013</v>
      </c>
      <c r="K120" s="16" t="s">
        <v>1008</v>
      </c>
      <c r="L120" s="15" t="s">
        <v>474</v>
      </c>
      <c r="M120" s="16" t="s">
        <v>347</v>
      </c>
      <c r="N120" s="16" t="s">
        <v>248</v>
      </c>
      <c r="O120" s="23" t="n">
        <v>1</v>
      </c>
      <c r="P120" s="24" t="n">
        <v>0.4</v>
      </c>
      <c r="Q120" s="17"/>
      <c r="R120" s="18"/>
      <c r="S120" s="16"/>
    </row>
    <row r="121" customFormat="false" ht="23.85" hidden="false" customHeight="false" outlineLevel="0" collapsed="false">
      <c r="A121" s="15" t="s">
        <v>1018</v>
      </c>
      <c r="B121" s="16" t="s">
        <v>1001</v>
      </c>
      <c r="C121" s="15" t="s">
        <v>1002</v>
      </c>
      <c r="D121" s="16" t="s">
        <v>1003</v>
      </c>
      <c r="E121" s="16" t="s">
        <v>1019</v>
      </c>
      <c r="F121" s="16" t="s">
        <v>1012</v>
      </c>
      <c r="G121" s="16" t="s">
        <v>101</v>
      </c>
      <c r="H121" s="16" t="s">
        <v>140</v>
      </c>
      <c r="I121" s="16" t="s">
        <v>1000</v>
      </c>
      <c r="J121" s="16" t="s">
        <v>1013</v>
      </c>
      <c r="K121" s="16" t="s">
        <v>1008</v>
      </c>
      <c r="L121" s="15" t="s">
        <v>474</v>
      </c>
      <c r="M121" s="16" t="s">
        <v>347</v>
      </c>
      <c r="N121" s="16" t="s">
        <v>248</v>
      </c>
      <c r="O121" s="23" t="n">
        <v>1</v>
      </c>
      <c r="P121" s="24" t="n">
        <v>0.4</v>
      </c>
      <c r="Q121" s="17"/>
      <c r="R121" s="18"/>
      <c r="S121" s="16"/>
    </row>
    <row r="122" customFormat="false" ht="23.85" hidden="false" customHeight="false" outlineLevel="0" collapsed="false">
      <c r="A122" s="15" t="s">
        <v>1020</v>
      </c>
      <c r="B122" s="16" t="s">
        <v>1001</v>
      </c>
      <c r="C122" s="15" t="s">
        <v>1002</v>
      </c>
      <c r="D122" s="16" t="s">
        <v>1003</v>
      </c>
      <c r="E122" s="16" t="s">
        <v>1021</v>
      </c>
      <c r="F122" s="16" t="s">
        <v>1022</v>
      </c>
      <c r="G122" s="16" t="s">
        <v>101</v>
      </c>
      <c r="H122" s="16" t="s">
        <v>140</v>
      </c>
      <c r="I122" s="16" t="s">
        <v>1000</v>
      </c>
      <c r="J122" s="16" t="s">
        <v>1023</v>
      </c>
      <c r="K122" s="16" t="s">
        <v>1008</v>
      </c>
      <c r="L122" s="15" t="s">
        <v>474</v>
      </c>
      <c r="M122" s="16" t="s">
        <v>347</v>
      </c>
      <c r="N122" s="16" t="s">
        <v>248</v>
      </c>
      <c r="O122" s="23" t="n">
        <v>0.8</v>
      </c>
      <c r="P122" s="24" t="n">
        <v>0.3</v>
      </c>
      <c r="Q122" s="17"/>
      <c r="R122" s="18"/>
      <c r="S122" s="16"/>
    </row>
    <row r="123" customFormat="false" ht="23.85" hidden="false" customHeight="false" outlineLevel="0" collapsed="false">
      <c r="A123" s="15" t="s">
        <v>1024</v>
      </c>
      <c r="B123" s="16" t="s">
        <v>1001</v>
      </c>
      <c r="C123" s="15" t="s">
        <v>1002</v>
      </c>
      <c r="D123" s="16" t="s">
        <v>1003</v>
      </c>
      <c r="E123" s="16" t="s">
        <v>1025</v>
      </c>
      <c r="F123" s="16" t="s">
        <v>1026</v>
      </c>
      <c r="G123" s="16" t="s">
        <v>101</v>
      </c>
      <c r="H123" s="16" t="s">
        <v>140</v>
      </c>
      <c r="I123" s="16" t="s">
        <v>1000</v>
      </c>
      <c r="J123" s="16" t="s">
        <v>1023</v>
      </c>
      <c r="K123" s="16" t="s">
        <v>1008</v>
      </c>
      <c r="L123" s="15" t="s">
        <v>474</v>
      </c>
      <c r="M123" s="16" t="s">
        <v>347</v>
      </c>
      <c r="N123" s="16" t="s">
        <v>248</v>
      </c>
      <c r="O123" s="23" t="n">
        <v>1</v>
      </c>
      <c r="P123" s="24" t="n">
        <v>0.4</v>
      </c>
      <c r="Q123" s="17"/>
      <c r="R123" s="18"/>
      <c r="S123" s="16"/>
    </row>
    <row r="124" customFormat="false" ht="23.85" hidden="false" customHeight="false" outlineLevel="0" collapsed="false">
      <c r="A124" s="15" t="s">
        <v>1027</v>
      </c>
      <c r="B124" s="16" t="s">
        <v>1001</v>
      </c>
      <c r="C124" s="15" t="s">
        <v>1002</v>
      </c>
      <c r="D124" s="16" t="s">
        <v>1003</v>
      </c>
      <c r="E124" s="16" t="s">
        <v>1028</v>
      </c>
      <c r="F124" s="16" t="s">
        <v>1029</v>
      </c>
      <c r="G124" s="16" t="s">
        <v>883</v>
      </c>
      <c r="H124" s="16" t="s">
        <v>140</v>
      </c>
      <c r="I124" s="16" t="s">
        <v>1000</v>
      </c>
      <c r="J124" s="16" t="s">
        <v>1013</v>
      </c>
      <c r="K124" s="16" t="s">
        <v>1008</v>
      </c>
      <c r="L124" s="15" t="s">
        <v>474</v>
      </c>
      <c r="M124" s="16" t="s">
        <v>347</v>
      </c>
      <c r="N124" s="16" t="s">
        <v>248</v>
      </c>
      <c r="O124" s="23" t="n">
        <v>1</v>
      </c>
      <c r="P124" s="24" t="n">
        <v>0.4</v>
      </c>
      <c r="Q124" s="17"/>
      <c r="R124" s="18"/>
      <c r="S124" s="16"/>
    </row>
    <row r="125" customFormat="false" ht="35.05" hidden="false" customHeight="false" outlineLevel="0" collapsed="false">
      <c r="A125" s="15" t="s">
        <v>1030</v>
      </c>
      <c r="B125" s="16" t="s">
        <v>1001</v>
      </c>
      <c r="C125" s="15" t="s">
        <v>1002</v>
      </c>
      <c r="D125" s="16" t="s">
        <v>1003</v>
      </c>
      <c r="E125" s="16" t="s">
        <v>1031</v>
      </c>
      <c r="F125" s="16" t="s">
        <v>1032</v>
      </c>
      <c r="G125" s="16" t="s">
        <v>594</v>
      </c>
      <c r="H125" s="16" t="s">
        <v>174</v>
      </c>
      <c r="I125" s="16" t="s">
        <v>1000</v>
      </c>
      <c r="J125" s="16" t="s">
        <v>1033</v>
      </c>
      <c r="K125" s="16" t="s">
        <v>1008</v>
      </c>
      <c r="L125" s="15" t="s">
        <v>647</v>
      </c>
      <c r="M125" s="16" t="s">
        <v>347</v>
      </c>
      <c r="N125" s="16" t="s">
        <v>248</v>
      </c>
      <c r="O125" s="23" t="n">
        <v>2</v>
      </c>
      <c r="P125" s="24" t="n">
        <v>0.8</v>
      </c>
      <c r="Q125" s="17"/>
      <c r="R125" s="18"/>
      <c r="S125" s="16" t="s">
        <v>1034</v>
      </c>
    </row>
    <row r="126" customFormat="false" ht="23.85" hidden="false" customHeight="false" outlineLevel="0" collapsed="false">
      <c r="A126" s="15" t="s">
        <v>1035</v>
      </c>
      <c r="B126" s="16" t="s">
        <v>1001</v>
      </c>
      <c r="C126" s="15" t="s">
        <v>1002</v>
      </c>
      <c r="D126" s="16" t="s">
        <v>1003</v>
      </c>
      <c r="E126" s="16" t="s">
        <v>1036</v>
      </c>
      <c r="F126" s="16" t="s">
        <v>1037</v>
      </c>
      <c r="G126" s="16" t="s">
        <v>1038</v>
      </c>
      <c r="H126" s="16" t="s">
        <v>140</v>
      </c>
      <c r="I126" s="16" t="s">
        <v>1000</v>
      </c>
      <c r="J126" s="16" t="s">
        <v>1039</v>
      </c>
      <c r="K126" s="16" t="s">
        <v>1008</v>
      </c>
      <c r="L126" s="15" t="s">
        <v>474</v>
      </c>
      <c r="M126" s="16" t="s">
        <v>347</v>
      </c>
      <c r="N126" s="16" t="s">
        <v>248</v>
      </c>
      <c r="O126" s="23" t="n">
        <v>1.2</v>
      </c>
      <c r="P126" s="24" t="n">
        <v>0.5</v>
      </c>
      <c r="Q126" s="17"/>
      <c r="R126" s="18"/>
      <c r="S126" s="16"/>
    </row>
    <row r="127" customFormat="false" ht="35.05" hidden="false" customHeight="false" outlineLevel="0" collapsed="false">
      <c r="A127" s="15" t="s">
        <v>1040</v>
      </c>
      <c r="B127" s="16" t="s">
        <v>1001</v>
      </c>
      <c r="C127" s="15" t="s">
        <v>1002</v>
      </c>
      <c r="D127" s="16" t="s">
        <v>1003</v>
      </c>
      <c r="E127" s="16" t="s">
        <v>1041</v>
      </c>
      <c r="F127" s="16" t="s">
        <v>1042</v>
      </c>
      <c r="G127" s="16" t="s">
        <v>1043</v>
      </c>
      <c r="H127" s="16" t="s">
        <v>181</v>
      </c>
      <c r="I127" s="16" t="s">
        <v>1044</v>
      </c>
      <c r="J127" s="16" t="s">
        <v>1045</v>
      </c>
      <c r="K127" s="16" t="s">
        <v>1046</v>
      </c>
      <c r="L127" s="15" t="s">
        <v>474</v>
      </c>
      <c r="M127" s="16" t="s">
        <v>347</v>
      </c>
      <c r="N127" s="16" t="s">
        <v>248</v>
      </c>
      <c r="O127" s="23" t="n">
        <v>2</v>
      </c>
      <c r="P127" s="24" t="n">
        <v>1.5</v>
      </c>
      <c r="Q127" s="17"/>
      <c r="R127" s="18"/>
      <c r="S127" s="16" t="s">
        <v>1047</v>
      </c>
    </row>
    <row r="128" customFormat="false" ht="23.85" hidden="false" customHeight="false" outlineLevel="0" collapsed="false">
      <c r="A128" s="15" t="s">
        <v>1048</v>
      </c>
      <c r="B128" s="16" t="s">
        <v>1001</v>
      </c>
      <c r="C128" s="15" t="s">
        <v>1002</v>
      </c>
      <c r="D128" s="16" t="s">
        <v>1003</v>
      </c>
      <c r="E128" s="16" t="s">
        <v>1049</v>
      </c>
      <c r="F128" s="16" t="s">
        <v>1050</v>
      </c>
      <c r="G128" s="16" t="s">
        <v>946</v>
      </c>
      <c r="H128" s="16" t="s">
        <v>248</v>
      </c>
      <c r="I128" s="16" t="s">
        <v>1051</v>
      </c>
      <c r="J128" s="16" t="s">
        <v>248</v>
      </c>
      <c r="K128" s="16" t="s">
        <v>1052</v>
      </c>
      <c r="L128" s="15" t="s">
        <v>474</v>
      </c>
      <c r="M128" s="16" t="s">
        <v>347</v>
      </c>
      <c r="N128" s="16" t="s">
        <v>248</v>
      </c>
      <c r="O128" s="23" t="n">
        <v>0.5</v>
      </c>
      <c r="P128" s="24" t="n">
        <v>0</v>
      </c>
      <c r="Q128" s="17"/>
      <c r="R128" s="18"/>
      <c r="S128" s="16" t="s">
        <v>348</v>
      </c>
    </row>
    <row r="129" customFormat="false" ht="35.05" hidden="false" customHeight="false" outlineLevel="0" collapsed="false">
      <c r="A129" s="15" t="s">
        <v>1053</v>
      </c>
      <c r="B129" s="16" t="s">
        <v>1054</v>
      </c>
      <c r="C129" s="15" t="s">
        <v>1055</v>
      </c>
      <c r="D129" s="16" t="s">
        <v>1056</v>
      </c>
      <c r="E129" s="16" t="s">
        <v>1057</v>
      </c>
      <c r="F129" s="16" t="s">
        <v>1058</v>
      </c>
      <c r="G129" s="16" t="s">
        <v>99</v>
      </c>
      <c r="H129" s="16" t="s">
        <v>181</v>
      </c>
      <c r="I129" s="16" t="s">
        <v>1059</v>
      </c>
      <c r="J129" s="16" t="s">
        <v>1060</v>
      </c>
      <c r="K129" s="16" t="s">
        <v>248</v>
      </c>
      <c r="L129" s="15" t="s">
        <v>474</v>
      </c>
      <c r="M129" s="16" t="s">
        <v>347</v>
      </c>
      <c r="N129" s="16" t="s">
        <v>248</v>
      </c>
      <c r="O129" s="23" t="n">
        <v>0.8</v>
      </c>
      <c r="P129" s="24" t="n">
        <v>0.3</v>
      </c>
      <c r="Q129" s="17"/>
      <c r="R129" s="18"/>
      <c r="S129" s="16" t="s">
        <v>1061</v>
      </c>
    </row>
    <row r="130" customFormat="false" ht="35.05" hidden="false" customHeight="false" outlineLevel="0" collapsed="false">
      <c r="A130" s="15" t="s">
        <v>1062</v>
      </c>
      <c r="B130" s="16" t="s">
        <v>1054</v>
      </c>
      <c r="C130" s="15" t="s">
        <v>1055</v>
      </c>
      <c r="D130" s="16" t="s">
        <v>1056</v>
      </c>
      <c r="E130" s="16" t="s">
        <v>1063</v>
      </c>
      <c r="F130" s="16" t="s">
        <v>1064</v>
      </c>
      <c r="G130" s="16" t="s">
        <v>101</v>
      </c>
      <c r="H130" s="16" t="s">
        <v>623</v>
      </c>
      <c r="I130" s="16" t="s">
        <v>1053</v>
      </c>
      <c r="J130" s="16" t="s">
        <v>1065</v>
      </c>
      <c r="K130" s="16" t="s">
        <v>1066</v>
      </c>
      <c r="L130" s="15" t="s">
        <v>474</v>
      </c>
      <c r="M130" s="16" t="s">
        <v>347</v>
      </c>
      <c r="N130" s="16" t="s">
        <v>248</v>
      </c>
      <c r="O130" s="23" t="n">
        <v>2.5</v>
      </c>
      <c r="P130" s="24" t="n">
        <v>1</v>
      </c>
      <c r="Q130" s="17"/>
      <c r="R130" s="18"/>
      <c r="S130" s="16" t="s">
        <v>1061</v>
      </c>
    </row>
    <row r="131" customFormat="false" ht="23.85" hidden="false" customHeight="false" outlineLevel="0" collapsed="false">
      <c r="A131" s="15" t="s">
        <v>1067</v>
      </c>
      <c r="B131" s="16" t="s">
        <v>1054</v>
      </c>
      <c r="C131" s="15" t="s">
        <v>1055</v>
      </c>
      <c r="D131" s="16" t="s">
        <v>1056</v>
      </c>
      <c r="E131" s="16" t="s">
        <v>1068</v>
      </c>
      <c r="F131" s="16" t="s">
        <v>1069</v>
      </c>
      <c r="G131" s="16" t="s">
        <v>1070</v>
      </c>
      <c r="H131" s="16" t="s">
        <v>68</v>
      </c>
      <c r="I131" s="16" t="s">
        <v>1053</v>
      </c>
      <c r="J131" s="16" t="s">
        <v>1071</v>
      </c>
      <c r="K131" s="16" t="s">
        <v>1072</v>
      </c>
      <c r="L131" s="15" t="s">
        <v>474</v>
      </c>
      <c r="M131" s="16" t="s">
        <v>347</v>
      </c>
      <c r="N131" s="16" t="s">
        <v>248</v>
      </c>
      <c r="O131" s="23" t="n">
        <v>2</v>
      </c>
      <c r="P131" s="24" t="n">
        <v>0.8</v>
      </c>
      <c r="Q131" s="17"/>
      <c r="R131" s="18"/>
      <c r="S131" s="16"/>
    </row>
    <row r="132" customFormat="false" ht="23.85" hidden="false" customHeight="false" outlineLevel="0" collapsed="false">
      <c r="A132" s="15" t="s">
        <v>1073</v>
      </c>
      <c r="B132" s="16" t="s">
        <v>1054</v>
      </c>
      <c r="C132" s="15" t="s">
        <v>1055</v>
      </c>
      <c r="D132" s="16" t="s">
        <v>1056</v>
      </c>
      <c r="E132" s="16" t="s">
        <v>1074</v>
      </c>
      <c r="F132" s="16" t="s">
        <v>1075</v>
      </c>
      <c r="G132" s="16" t="s">
        <v>1076</v>
      </c>
      <c r="H132" s="16" t="s">
        <v>174</v>
      </c>
      <c r="I132" s="16" t="s">
        <v>1077</v>
      </c>
      <c r="J132" s="16" t="s">
        <v>1078</v>
      </c>
      <c r="K132" s="16" t="s">
        <v>1079</v>
      </c>
      <c r="L132" s="15" t="s">
        <v>474</v>
      </c>
      <c r="M132" s="16" t="s">
        <v>347</v>
      </c>
      <c r="N132" s="16" t="s">
        <v>248</v>
      </c>
      <c r="O132" s="23" t="n">
        <v>2</v>
      </c>
      <c r="P132" s="24" t="n">
        <v>0.8</v>
      </c>
      <c r="Q132" s="17"/>
      <c r="R132" s="18"/>
      <c r="S132" s="16"/>
    </row>
    <row r="133" customFormat="false" ht="23.85" hidden="false" customHeight="false" outlineLevel="0" collapsed="false">
      <c r="A133" s="15" t="s">
        <v>1080</v>
      </c>
      <c r="B133" s="16" t="s">
        <v>1054</v>
      </c>
      <c r="C133" s="15" t="s">
        <v>1055</v>
      </c>
      <c r="D133" s="16" t="s">
        <v>1056</v>
      </c>
      <c r="E133" s="16" t="s">
        <v>1081</v>
      </c>
      <c r="F133" s="16" t="s">
        <v>1082</v>
      </c>
      <c r="G133" s="16" t="s">
        <v>146</v>
      </c>
      <c r="H133" s="16" t="s">
        <v>140</v>
      </c>
      <c r="I133" s="16" t="s">
        <v>1083</v>
      </c>
      <c r="J133" s="16" t="s">
        <v>1084</v>
      </c>
      <c r="K133" s="16" t="s">
        <v>1066</v>
      </c>
      <c r="L133" s="15" t="s">
        <v>474</v>
      </c>
      <c r="M133" s="16" t="s">
        <v>347</v>
      </c>
      <c r="N133" s="16" t="s">
        <v>248</v>
      </c>
      <c r="O133" s="23" t="n">
        <v>1.2</v>
      </c>
      <c r="P133" s="24" t="n">
        <v>0.5</v>
      </c>
      <c r="Q133" s="17"/>
      <c r="R133" s="18"/>
      <c r="S133" s="16" t="s">
        <v>1085</v>
      </c>
    </row>
    <row r="134" customFormat="false" ht="23.85" hidden="false" customHeight="false" outlineLevel="0" collapsed="false">
      <c r="A134" s="15" t="s">
        <v>1086</v>
      </c>
      <c r="B134" s="16" t="s">
        <v>1054</v>
      </c>
      <c r="C134" s="15" t="s">
        <v>1055</v>
      </c>
      <c r="D134" s="16" t="s">
        <v>1056</v>
      </c>
      <c r="E134" s="16" t="s">
        <v>1087</v>
      </c>
      <c r="F134" s="16" t="s">
        <v>1088</v>
      </c>
      <c r="G134" s="16" t="s">
        <v>152</v>
      </c>
      <c r="H134" s="16" t="s">
        <v>140</v>
      </c>
      <c r="I134" s="16" t="s">
        <v>1062</v>
      </c>
      <c r="J134" s="16" t="s">
        <v>1089</v>
      </c>
      <c r="K134" s="16" t="s">
        <v>248</v>
      </c>
      <c r="L134" s="15" t="s">
        <v>474</v>
      </c>
      <c r="M134" s="16" t="s">
        <v>347</v>
      </c>
      <c r="N134" s="16" t="s">
        <v>248</v>
      </c>
      <c r="O134" s="23" t="n">
        <v>1.2</v>
      </c>
      <c r="P134" s="24" t="n">
        <v>0.5</v>
      </c>
      <c r="Q134" s="17"/>
      <c r="R134" s="18"/>
      <c r="S134" s="16"/>
    </row>
    <row r="135" customFormat="false" ht="23.85" hidden="false" customHeight="false" outlineLevel="0" collapsed="false">
      <c r="A135" s="15" t="s">
        <v>1090</v>
      </c>
      <c r="B135" s="16" t="s">
        <v>1054</v>
      </c>
      <c r="C135" s="15" t="s">
        <v>1055</v>
      </c>
      <c r="D135" s="16" t="s">
        <v>1056</v>
      </c>
      <c r="E135" s="16" t="s">
        <v>1091</v>
      </c>
      <c r="F135" s="16" t="s">
        <v>1092</v>
      </c>
      <c r="G135" s="16" t="s">
        <v>192</v>
      </c>
      <c r="H135" s="16" t="s">
        <v>181</v>
      </c>
      <c r="I135" s="16" t="s">
        <v>1073</v>
      </c>
      <c r="J135" s="16" t="s">
        <v>1093</v>
      </c>
      <c r="K135" s="16" t="s">
        <v>248</v>
      </c>
      <c r="L135" s="15" t="s">
        <v>474</v>
      </c>
      <c r="M135" s="16" t="s">
        <v>347</v>
      </c>
      <c r="N135" s="16" t="s">
        <v>248</v>
      </c>
      <c r="O135" s="23" t="n">
        <v>1</v>
      </c>
      <c r="P135" s="24" t="n">
        <v>0.5</v>
      </c>
      <c r="Q135" s="17"/>
      <c r="R135" s="18"/>
      <c r="S135" s="16"/>
    </row>
    <row r="136" customFormat="false" ht="35.05" hidden="false" customHeight="false" outlineLevel="0" collapsed="false">
      <c r="A136" s="15" t="s">
        <v>1094</v>
      </c>
      <c r="B136" s="16" t="s">
        <v>1054</v>
      </c>
      <c r="C136" s="15" t="s">
        <v>1055</v>
      </c>
      <c r="D136" s="16" t="s">
        <v>1056</v>
      </c>
      <c r="E136" s="16" t="s">
        <v>1095</v>
      </c>
      <c r="F136" s="16" t="s">
        <v>1096</v>
      </c>
      <c r="G136" s="16" t="s">
        <v>946</v>
      </c>
      <c r="H136" s="16" t="s">
        <v>248</v>
      </c>
      <c r="I136" s="16" t="s">
        <v>1097</v>
      </c>
      <c r="J136" s="16" t="s">
        <v>248</v>
      </c>
      <c r="K136" s="16" t="s">
        <v>1079</v>
      </c>
      <c r="L136" s="15" t="s">
        <v>474</v>
      </c>
      <c r="M136" s="16" t="s">
        <v>347</v>
      </c>
      <c r="N136" s="16" t="s">
        <v>248</v>
      </c>
      <c r="O136" s="23" t="n">
        <v>0.5</v>
      </c>
      <c r="P136" s="24" t="n">
        <v>0</v>
      </c>
      <c r="Q136" s="17"/>
      <c r="R136" s="18"/>
      <c r="S136" s="16" t="s">
        <v>348</v>
      </c>
    </row>
    <row r="137" customFormat="false" ht="23.85" hidden="false" customHeight="false" outlineLevel="0" collapsed="false">
      <c r="A137" s="15" t="s">
        <v>1098</v>
      </c>
      <c r="B137" s="16" t="s">
        <v>1099</v>
      </c>
      <c r="C137" s="15" t="s">
        <v>199</v>
      </c>
      <c r="D137" s="16" t="s">
        <v>1100</v>
      </c>
      <c r="E137" s="16" t="s">
        <v>1101</v>
      </c>
      <c r="F137" s="16" t="s">
        <v>1102</v>
      </c>
      <c r="G137" s="16" t="s">
        <v>192</v>
      </c>
      <c r="H137" s="16" t="s">
        <v>1103</v>
      </c>
      <c r="I137" s="16" t="s">
        <v>1104</v>
      </c>
      <c r="J137" s="16" t="s">
        <v>1105</v>
      </c>
      <c r="K137" s="16" t="s">
        <v>315</v>
      </c>
      <c r="L137" s="15" t="s">
        <v>474</v>
      </c>
      <c r="M137" s="16" t="s">
        <v>347</v>
      </c>
      <c r="N137" s="16" t="s">
        <v>248</v>
      </c>
      <c r="O137" s="23" t="n">
        <v>1.5</v>
      </c>
      <c r="P137" s="24" t="n">
        <v>0.7</v>
      </c>
      <c r="Q137" s="17"/>
      <c r="R137" s="18"/>
      <c r="S137" s="16" t="s">
        <v>1106</v>
      </c>
    </row>
    <row r="138" customFormat="false" ht="15" hidden="false" customHeight="false" outlineLevel="0" collapsed="false">
      <c r="A138" s="15" t="s">
        <v>1107</v>
      </c>
      <c r="B138" s="16" t="s">
        <v>1099</v>
      </c>
      <c r="C138" s="15" t="s">
        <v>199</v>
      </c>
      <c r="D138" s="16" t="s">
        <v>1108</v>
      </c>
      <c r="E138" s="16" t="s">
        <v>1109</v>
      </c>
      <c r="F138" s="16" t="s">
        <v>1110</v>
      </c>
      <c r="G138" s="16" t="s">
        <v>192</v>
      </c>
      <c r="H138" s="16" t="s">
        <v>1103</v>
      </c>
      <c r="I138" s="16" t="s">
        <v>1098</v>
      </c>
      <c r="J138" s="16" t="s">
        <v>1105</v>
      </c>
      <c r="K138" s="16" t="s">
        <v>248</v>
      </c>
      <c r="L138" s="15" t="s">
        <v>474</v>
      </c>
      <c r="M138" s="16" t="s">
        <v>347</v>
      </c>
      <c r="N138" s="16" t="s">
        <v>248</v>
      </c>
      <c r="O138" s="23" t="n">
        <v>1.5</v>
      </c>
      <c r="P138" s="24" t="n">
        <v>0.7</v>
      </c>
      <c r="Q138" s="17"/>
      <c r="R138" s="18"/>
      <c r="S138" s="16"/>
    </row>
    <row r="139" customFormat="false" ht="23.85" hidden="false" customHeight="false" outlineLevel="0" collapsed="false">
      <c r="A139" s="15" t="s">
        <v>1111</v>
      </c>
      <c r="B139" s="16" t="s">
        <v>1099</v>
      </c>
      <c r="C139" s="15" t="s">
        <v>199</v>
      </c>
      <c r="D139" s="16" t="s">
        <v>641</v>
      </c>
      <c r="E139" s="16" t="s">
        <v>1112</v>
      </c>
      <c r="F139" s="16" t="s">
        <v>1113</v>
      </c>
      <c r="G139" s="16" t="s">
        <v>192</v>
      </c>
      <c r="H139" s="16" t="s">
        <v>1103</v>
      </c>
      <c r="I139" s="16" t="s">
        <v>1114</v>
      </c>
      <c r="J139" s="16" t="s">
        <v>645</v>
      </c>
      <c r="K139" s="16" t="s">
        <v>386</v>
      </c>
      <c r="L139" s="15" t="s">
        <v>647</v>
      </c>
      <c r="M139" s="16" t="s">
        <v>347</v>
      </c>
      <c r="N139" s="16" t="s">
        <v>248</v>
      </c>
      <c r="O139" s="23" t="n">
        <v>2</v>
      </c>
      <c r="P139" s="24" t="n">
        <v>1</v>
      </c>
      <c r="Q139" s="17"/>
      <c r="R139" s="18"/>
      <c r="S139" s="16"/>
    </row>
    <row r="140" customFormat="false" ht="23.85" hidden="false" customHeight="false" outlineLevel="0" collapsed="false">
      <c r="A140" s="15" t="s">
        <v>1115</v>
      </c>
      <c r="B140" s="16" t="s">
        <v>1099</v>
      </c>
      <c r="C140" s="15" t="s">
        <v>199</v>
      </c>
      <c r="D140" s="16" t="s">
        <v>1116</v>
      </c>
      <c r="E140" s="16" t="s">
        <v>1117</v>
      </c>
      <c r="F140" s="16" t="s">
        <v>1118</v>
      </c>
      <c r="G140" s="16" t="s">
        <v>192</v>
      </c>
      <c r="H140" s="16" t="s">
        <v>1103</v>
      </c>
      <c r="I140" s="16" t="s">
        <v>1111</v>
      </c>
      <c r="J140" s="16" t="s">
        <v>1105</v>
      </c>
      <c r="K140" s="16" t="s">
        <v>248</v>
      </c>
      <c r="L140" s="15" t="s">
        <v>647</v>
      </c>
      <c r="M140" s="16" t="s">
        <v>347</v>
      </c>
      <c r="N140" s="16" t="s">
        <v>248</v>
      </c>
      <c r="O140" s="23" t="n">
        <v>4</v>
      </c>
      <c r="P140" s="24" t="n">
        <v>2</v>
      </c>
      <c r="Q140" s="17"/>
      <c r="R140" s="18"/>
      <c r="S140" s="16" t="s">
        <v>1119</v>
      </c>
    </row>
    <row r="141" customFormat="false" ht="15" hidden="false" customHeight="false" outlineLevel="0" collapsed="false">
      <c r="A141" s="3" t="s">
        <v>262</v>
      </c>
      <c r="O141" s="21" t="n">
        <f aca="false">SUM(O4:O140)</f>
        <v>166.7</v>
      </c>
      <c r="P141" s="25" t="n">
        <f aca="false">SUM(P4:P140)</f>
        <v>62.76</v>
      </c>
      <c r="Q141" s="20" t="n">
        <f aca="false">SUM(Q4:Q140)</f>
        <v>6.345</v>
      </c>
      <c r="R141" s="21" t="n">
        <f aca="false">SUM(R4:R140)</f>
        <v>636.8</v>
      </c>
    </row>
    <row r="142" customFormat="false" ht="15" hidden="false" customHeight="false" outlineLevel="0" collapsed="false">
      <c r="A142" s="2" t="s">
        <v>1120</v>
      </c>
    </row>
  </sheetData>
  <autoFilter ref="A3:S140"/>
  <conditionalFormatting sqref="M4:M140">
    <cfRule type="expression" priority="2" aboveAverage="0" equalAverage="0" bottom="0" percent="0" rank="0" text="" dxfId="6">
      <formula>LEFT(M4,7)="Selesai"</formula>
    </cfRule>
    <cfRule type="expression" priority="3" aboveAverage="0" equalAverage="0" bottom="0" percent="0" rank="0" text="" dxfId="7">
      <formula>LEFT(M4,8)="Snapshot"</formula>
    </cfRule>
    <cfRule type="expression" priority="4" aboveAverage="0" equalAverage="0" bottom="0" percent="0" rank="0" text="" dxfId="6">
      <formula>LEFT(M4,8)="Terbukti"</formula>
    </cfRule>
    <cfRule type="expression" priority="5" aboveAverage="0" equalAverage="0" bottom="0" percent="0" rank="0" text="" dxfId="7">
      <formula>LEFT(M4,4)="Test"</formula>
    </cfRule>
    <cfRule type="expression" priority="6" aboveAverage="0" equalAverage="0" bottom="0" percent="0" rank="0" text="" dxfId="8">
      <formula>LEFT(M4,8)="Sebagian"</formula>
    </cfRule>
    <cfRule type="expression" priority="7" aboveAverage="0" equalAverage="0" bottom="0" percent="0" rank="0" text="" dxfId="9">
      <formula>LEFT(M4,5)="Belum"</formula>
    </cfRule>
    <cfRule type="expression" priority="8" aboveAverage="0" equalAverage="0" bottom="0" percent="0" rank="0" text="" dxfId="10">
      <formula>LEFT(M4,5)="Aktif"</formula>
    </cfRule>
  </conditionalFormatting>
  <dataValidations count="1">
    <dataValidation allowBlank="false" errorStyle="stop" operator="between" showDropDown="false" showErrorMessage="false" showInputMessage="false" sqref="M4:M140" type="list">
      <formula1>"Selesai,Snapshot (belum terintegrasi),Sebagian,Belum"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B45"/>
    <pageSetUpPr fitToPage="true"/>
  </sheetPr>
  <dimension ref="A1:R4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17" min="3" style="0" width="8"/>
    <col collapsed="false" customWidth="true" hidden="false" outlineLevel="0" max="18" min="18" style="0" width="11"/>
  </cols>
  <sheetData>
    <row r="1" customFormat="false" ht="17.35" hidden="false" customHeight="false" outlineLevel="0" collapsed="false">
      <c r="A1" s="13" t="s">
        <v>40</v>
      </c>
    </row>
    <row r="2" customFormat="false" ht="15" hidden="false" customHeight="false" outlineLevel="0" collapsed="false">
      <c r="A2" s="2" t="s">
        <v>1121</v>
      </c>
    </row>
    <row r="3" customFormat="false" ht="31.5" hidden="false" customHeight="true" outlineLevel="0" collapsed="false">
      <c r="A3" s="14" t="s">
        <v>1122</v>
      </c>
      <c r="B3" s="14" t="s">
        <v>1123</v>
      </c>
      <c r="C3" s="14" t="s">
        <v>283</v>
      </c>
      <c r="D3" s="14" t="s">
        <v>100</v>
      </c>
      <c r="E3" s="14" t="s">
        <v>207</v>
      </c>
      <c r="F3" s="14" t="s">
        <v>215</v>
      </c>
      <c r="G3" s="14" t="s">
        <v>448</v>
      </c>
      <c r="H3" s="14" t="s">
        <v>191</v>
      </c>
      <c r="I3" s="14" t="s">
        <v>199</v>
      </c>
      <c r="J3" s="14" t="s">
        <v>707</v>
      </c>
      <c r="K3" s="14" t="s">
        <v>755</v>
      </c>
      <c r="L3" s="14" t="s">
        <v>802</v>
      </c>
      <c r="M3" s="14" t="s">
        <v>245</v>
      </c>
      <c r="N3" s="14" t="s">
        <v>867</v>
      </c>
      <c r="O3" s="14" t="s">
        <v>951</v>
      </c>
      <c r="P3" s="14" t="s">
        <v>1002</v>
      </c>
      <c r="Q3" s="14" t="s">
        <v>1055</v>
      </c>
      <c r="R3" s="14" t="s">
        <v>1124</v>
      </c>
    </row>
    <row r="4" customFormat="false" ht="15" hidden="false" customHeight="false" outlineLevel="0" collapsed="false">
      <c r="A4" s="15" t="s">
        <v>68</v>
      </c>
      <c r="B4" s="16" t="s">
        <v>69</v>
      </c>
      <c r="C4" s="15" t="str">
        <f aca="false">IF(COUNTIFS(WBS!$G$4:$G$200,"*"&amp;$A4&amp;"*",WBS!$C$4:$C$200,C$3)&gt;0,"■","")</f>
        <v>■</v>
      </c>
      <c r="D4" s="15" t="str">
        <f aca="false">IF(COUNTIFS(WBS!$G$4:$G$200,"*"&amp;$A4&amp;"*",WBS!$C$4:$C$200,D$3)&gt;0,"■","")</f>
        <v/>
      </c>
      <c r="E4" s="15" t="str">
        <f aca="false">IF(COUNTIFS(WBS!$G$4:$G$200,"*"&amp;$A4&amp;"*",WBS!$C$4:$C$200,E$3)&gt;0,"■","")</f>
        <v>■</v>
      </c>
      <c r="F4" s="15" t="str">
        <f aca="false">IF(COUNTIFS(WBS!$G$4:$G$200,"*"&amp;$A4&amp;"*",WBS!$C$4:$C$200,F$3)&gt;0,"■","")</f>
        <v>■</v>
      </c>
      <c r="G4" s="15" t="str">
        <f aca="false">IF(COUNTIFS(WBS!$G$4:$G$200,"*"&amp;$A4&amp;"*",WBS!$C$4:$C$200,G$3)&gt;0,"■","")</f>
        <v/>
      </c>
      <c r="H4" s="15" t="str">
        <f aca="false">IF(COUNTIFS(WBS!$G$4:$G$200,"*"&amp;$A4&amp;"*",WBS!$C$4:$C$200,H$3)&gt;0,"■","")</f>
        <v/>
      </c>
      <c r="I4" s="15" t="str">
        <f aca="false">IF(COUNTIFS(WBS!$G$4:$G$200,"*"&amp;$A4&amp;"*",WBS!$C$4:$C$200,I$3)&gt;0,"■","")</f>
        <v/>
      </c>
      <c r="J4" s="15" t="str">
        <f aca="false">IF(COUNTIFS(WBS!$G$4:$G$200,"*"&amp;$A4&amp;"*",WBS!$C$4:$C$200,J$3)&gt;0,"■","")</f>
        <v>■</v>
      </c>
      <c r="K4" s="15" t="str">
        <f aca="false">IF(COUNTIFS(WBS!$G$4:$G$200,"*"&amp;$A4&amp;"*",WBS!$C$4:$C$200,K$3)&gt;0,"■","")</f>
        <v/>
      </c>
      <c r="L4" s="15" t="str">
        <f aca="false">IF(COUNTIFS(WBS!$G$4:$G$200,"*"&amp;$A4&amp;"*",WBS!$C$4:$C$200,L$3)&gt;0,"■","")</f>
        <v>■</v>
      </c>
      <c r="M4" s="15" t="str">
        <f aca="false">IF(COUNTIFS(WBS!$G$4:$G$200,"*"&amp;$A4&amp;"*",WBS!$C$4:$C$200,M$3)&gt;0,"■","")</f>
        <v/>
      </c>
      <c r="N4" s="15" t="str">
        <f aca="false">IF(COUNTIFS(WBS!$G$4:$G$200,"*"&amp;$A4&amp;"*",WBS!$C$4:$C$200,N$3)&gt;0,"■","")</f>
        <v>■</v>
      </c>
      <c r="O4" s="15" t="str">
        <f aca="false">IF(COUNTIFS(WBS!$G$4:$G$200,"*"&amp;$A4&amp;"*",WBS!$C$4:$C$200,O$3)&gt;0,"■","")</f>
        <v>■</v>
      </c>
      <c r="P4" s="15" t="str">
        <f aca="false">IF(COUNTIFS(WBS!$G$4:$G$200,"*"&amp;$A4&amp;"*",WBS!$C$4:$C$200,P$3)&gt;0,"■","")</f>
        <v/>
      </c>
      <c r="Q4" s="15" t="str">
        <f aca="false">IF(COUNTIFS(WBS!$G$4:$G$200,"*"&amp;$A4&amp;"*",WBS!$C$4:$C$200,Q$3)&gt;0,"■","")</f>
        <v>■</v>
      </c>
      <c r="R4" s="15" t="n">
        <f aca="false">COUNTIF(WBS!$G$4:$G$200,"*"&amp;$A4&amp;"*")</f>
        <v>17</v>
      </c>
    </row>
    <row r="5" customFormat="false" ht="15" hidden="false" customHeight="false" outlineLevel="0" collapsed="false">
      <c r="A5" s="15" t="s">
        <v>80</v>
      </c>
      <c r="B5" s="16" t="s">
        <v>81</v>
      </c>
      <c r="C5" s="15" t="str">
        <f aca="false">IF(COUNTIFS(WBS!$G$4:$G$200,"*"&amp;$A5&amp;"*",WBS!$C$4:$C$200,C$3)&gt;0,"■","")</f>
        <v/>
      </c>
      <c r="D5" s="15" t="str">
        <f aca="false">IF(COUNTIFS(WBS!$G$4:$G$200,"*"&amp;$A5&amp;"*",WBS!$C$4:$C$200,D$3)&gt;0,"■","")</f>
        <v>■</v>
      </c>
      <c r="E5" s="15" t="str">
        <f aca="false">IF(COUNTIFS(WBS!$G$4:$G$200,"*"&amp;$A5&amp;"*",WBS!$C$4:$C$200,E$3)&gt;0,"■","")</f>
        <v/>
      </c>
      <c r="F5" s="15" t="str">
        <f aca="false">IF(COUNTIFS(WBS!$G$4:$G$200,"*"&amp;$A5&amp;"*",WBS!$C$4:$C$200,F$3)&gt;0,"■","")</f>
        <v>■</v>
      </c>
      <c r="G5" s="15" t="str">
        <f aca="false">IF(COUNTIFS(WBS!$G$4:$G$200,"*"&amp;$A5&amp;"*",WBS!$C$4:$C$200,G$3)&gt;0,"■","")</f>
        <v/>
      </c>
      <c r="H5" s="15" t="str">
        <f aca="false">IF(COUNTIFS(WBS!$G$4:$G$200,"*"&amp;$A5&amp;"*",WBS!$C$4:$C$200,H$3)&gt;0,"■","")</f>
        <v/>
      </c>
      <c r="I5" s="15" t="str">
        <f aca="false">IF(COUNTIFS(WBS!$G$4:$G$200,"*"&amp;$A5&amp;"*",WBS!$C$4:$C$200,I$3)&gt;0,"■","")</f>
        <v/>
      </c>
      <c r="J5" s="15" t="str">
        <f aca="false">IF(COUNTIFS(WBS!$G$4:$G$200,"*"&amp;$A5&amp;"*",WBS!$C$4:$C$200,J$3)&gt;0,"■","")</f>
        <v/>
      </c>
      <c r="K5" s="15" t="str">
        <f aca="false">IF(COUNTIFS(WBS!$G$4:$G$200,"*"&amp;$A5&amp;"*",WBS!$C$4:$C$200,K$3)&gt;0,"■","")</f>
        <v/>
      </c>
      <c r="L5" s="15" t="str">
        <f aca="false">IF(COUNTIFS(WBS!$G$4:$G$200,"*"&amp;$A5&amp;"*",WBS!$C$4:$C$200,L$3)&gt;0,"■","")</f>
        <v/>
      </c>
      <c r="M5" s="15" t="str">
        <f aca="false">IF(COUNTIFS(WBS!$G$4:$G$200,"*"&amp;$A5&amp;"*",WBS!$C$4:$C$200,M$3)&gt;0,"■","")</f>
        <v/>
      </c>
      <c r="N5" s="15" t="str">
        <f aca="false">IF(COUNTIFS(WBS!$G$4:$G$200,"*"&amp;$A5&amp;"*",WBS!$C$4:$C$200,N$3)&gt;0,"■","")</f>
        <v>■</v>
      </c>
      <c r="O5" s="15" t="str">
        <f aca="false">IF(COUNTIFS(WBS!$G$4:$G$200,"*"&amp;$A5&amp;"*",WBS!$C$4:$C$200,O$3)&gt;0,"■","")</f>
        <v>■</v>
      </c>
      <c r="P5" s="15" t="str">
        <f aca="false">IF(COUNTIFS(WBS!$G$4:$G$200,"*"&amp;$A5&amp;"*",WBS!$C$4:$C$200,P$3)&gt;0,"■","")</f>
        <v/>
      </c>
      <c r="Q5" s="15" t="str">
        <f aca="false">IF(COUNTIFS(WBS!$G$4:$G$200,"*"&amp;$A5&amp;"*",WBS!$C$4:$C$200,Q$3)&gt;0,"■","")</f>
        <v/>
      </c>
      <c r="R5" s="15" t="n">
        <f aca="false">COUNTIF(WBS!$G$4:$G$200,"*"&amp;$A5&amp;"*")</f>
        <v>10</v>
      </c>
    </row>
    <row r="6" customFormat="false" ht="15" hidden="false" customHeight="false" outlineLevel="0" collapsed="false">
      <c r="A6" s="15" t="s">
        <v>91</v>
      </c>
      <c r="B6" s="16" t="s">
        <v>92</v>
      </c>
      <c r="C6" s="15" t="str">
        <f aca="false">IF(COUNTIFS(WBS!$G$4:$G$200,"*"&amp;$A6&amp;"*",WBS!$C$4:$C$200,C$3)&gt;0,"■","")</f>
        <v/>
      </c>
      <c r="D6" s="15" t="str">
        <f aca="false">IF(COUNTIFS(WBS!$G$4:$G$200,"*"&amp;$A6&amp;"*",WBS!$C$4:$C$200,D$3)&gt;0,"■","")</f>
        <v>■</v>
      </c>
      <c r="E6" s="15" t="str">
        <f aca="false">IF(COUNTIFS(WBS!$G$4:$G$200,"*"&amp;$A6&amp;"*",WBS!$C$4:$C$200,E$3)&gt;0,"■","")</f>
        <v/>
      </c>
      <c r="F6" s="15" t="str">
        <f aca="false">IF(COUNTIFS(WBS!$G$4:$G$200,"*"&amp;$A6&amp;"*",WBS!$C$4:$C$200,F$3)&gt;0,"■","")</f>
        <v/>
      </c>
      <c r="G6" s="15" t="str">
        <f aca="false">IF(COUNTIFS(WBS!$G$4:$G$200,"*"&amp;$A6&amp;"*",WBS!$C$4:$C$200,G$3)&gt;0,"■","")</f>
        <v/>
      </c>
      <c r="H6" s="15" t="str">
        <f aca="false">IF(COUNTIFS(WBS!$G$4:$G$200,"*"&amp;$A6&amp;"*",WBS!$C$4:$C$200,H$3)&gt;0,"■","")</f>
        <v/>
      </c>
      <c r="I6" s="15" t="str">
        <f aca="false">IF(COUNTIFS(WBS!$G$4:$G$200,"*"&amp;$A6&amp;"*",WBS!$C$4:$C$200,I$3)&gt;0,"■","")</f>
        <v/>
      </c>
      <c r="J6" s="15" t="str">
        <f aca="false">IF(COUNTIFS(WBS!$G$4:$G$200,"*"&amp;$A6&amp;"*",WBS!$C$4:$C$200,J$3)&gt;0,"■","")</f>
        <v/>
      </c>
      <c r="K6" s="15" t="str">
        <f aca="false">IF(COUNTIFS(WBS!$G$4:$G$200,"*"&amp;$A6&amp;"*",WBS!$C$4:$C$200,K$3)&gt;0,"■","")</f>
        <v/>
      </c>
      <c r="L6" s="15" t="str">
        <f aca="false">IF(COUNTIFS(WBS!$G$4:$G$200,"*"&amp;$A6&amp;"*",WBS!$C$4:$C$200,L$3)&gt;0,"■","")</f>
        <v/>
      </c>
      <c r="M6" s="15" t="str">
        <f aca="false">IF(COUNTIFS(WBS!$G$4:$G$200,"*"&amp;$A6&amp;"*",WBS!$C$4:$C$200,M$3)&gt;0,"■","")</f>
        <v/>
      </c>
      <c r="N6" s="15" t="str">
        <f aca="false">IF(COUNTIFS(WBS!$G$4:$G$200,"*"&amp;$A6&amp;"*",WBS!$C$4:$C$200,N$3)&gt;0,"■","")</f>
        <v>■</v>
      </c>
      <c r="O6" s="15" t="str">
        <f aca="false">IF(COUNTIFS(WBS!$G$4:$G$200,"*"&amp;$A6&amp;"*",WBS!$C$4:$C$200,O$3)&gt;0,"■","")</f>
        <v/>
      </c>
      <c r="P6" s="15" t="str">
        <f aca="false">IF(COUNTIFS(WBS!$G$4:$G$200,"*"&amp;$A6&amp;"*",WBS!$C$4:$C$200,P$3)&gt;0,"■","")</f>
        <v/>
      </c>
      <c r="Q6" s="15" t="str">
        <f aca="false">IF(COUNTIFS(WBS!$G$4:$G$200,"*"&amp;$A6&amp;"*",WBS!$C$4:$C$200,Q$3)&gt;0,"■","")</f>
        <v/>
      </c>
      <c r="R6" s="15" t="n">
        <f aca="false">COUNTIF(WBS!$G$4:$G$200,"*"&amp;$A6&amp;"*")</f>
        <v>3</v>
      </c>
    </row>
    <row r="7" customFormat="false" ht="15" hidden="false" customHeight="false" outlineLevel="0" collapsed="false">
      <c r="A7" s="15" t="s">
        <v>101</v>
      </c>
      <c r="B7" s="16" t="s">
        <v>102</v>
      </c>
      <c r="C7" s="15" t="str">
        <f aca="false">IF(COUNTIFS(WBS!$G$4:$G$200,"*"&amp;$A7&amp;"*",WBS!$C$4:$C$200,C$3)&gt;0,"■","")</f>
        <v/>
      </c>
      <c r="D7" s="15" t="str">
        <f aca="false">IF(COUNTIFS(WBS!$G$4:$G$200,"*"&amp;$A7&amp;"*",WBS!$C$4:$C$200,D$3)&gt;0,"■","")</f>
        <v>■</v>
      </c>
      <c r="E7" s="15" t="str">
        <f aca="false">IF(COUNTIFS(WBS!$G$4:$G$200,"*"&amp;$A7&amp;"*",WBS!$C$4:$C$200,E$3)&gt;0,"■","")</f>
        <v>■</v>
      </c>
      <c r="F7" s="15" t="str">
        <f aca="false">IF(COUNTIFS(WBS!$G$4:$G$200,"*"&amp;$A7&amp;"*",WBS!$C$4:$C$200,F$3)&gt;0,"■","")</f>
        <v>■</v>
      </c>
      <c r="G7" s="15" t="str">
        <f aca="false">IF(COUNTIFS(WBS!$G$4:$G$200,"*"&amp;$A7&amp;"*",WBS!$C$4:$C$200,G$3)&gt;0,"■","")</f>
        <v/>
      </c>
      <c r="H7" s="15" t="str">
        <f aca="false">IF(COUNTIFS(WBS!$G$4:$G$200,"*"&amp;$A7&amp;"*",WBS!$C$4:$C$200,H$3)&gt;0,"■","")</f>
        <v>■</v>
      </c>
      <c r="I7" s="15" t="str">
        <f aca="false">IF(COUNTIFS(WBS!$G$4:$G$200,"*"&amp;$A7&amp;"*",WBS!$C$4:$C$200,I$3)&gt;0,"■","")</f>
        <v/>
      </c>
      <c r="J7" s="15" t="str">
        <f aca="false">IF(COUNTIFS(WBS!$G$4:$G$200,"*"&amp;$A7&amp;"*",WBS!$C$4:$C$200,J$3)&gt;0,"■","")</f>
        <v/>
      </c>
      <c r="K7" s="15" t="str">
        <f aca="false">IF(COUNTIFS(WBS!$G$4:$G$200,"*"&amp;$A7&amp;"*",WBS!$C$4:$C$200,K$3)&gt;0,"■","")</f>
        <v>■</v>
      </c>
      <c r="L7" s="15" t="str">
        <f aca="false">IF(COUNTIFS(WBS!$G$4:$G$200,"*"&amp;$A7&amp;"*",WBS!$C$4:$C$200,L$3)&gt;0,"■","")</f>
        <v>■</v>
      </c>
      <c r="M7" s="15" t="str">
        <f aca="false">IF(COUNTIFS(WBS!$G$4:$G$200,"*"&amp;$A7&amp;"*",WBS!$C$4:$C$200,M$3)&gt;0,"■","")</f>
        <v/>
      </c>
      <c r="N7" s="15" t="str">
        <f aca="false">IF(COUNTIFS(WBS!$G$4:$G$200,"*"&amp;$A7&amp;"*",WBS!$C$4:$C$200,N$3)&gt;0,"■","")</f>
        <v>■</v>
      </c>
      <c r="O7" s="15" t="str">
        <f aca="false">IF(COUNTIFS(WBS!$G$4:$G$200,"*"&amp;$A7&amp;"*",WBS!$C$4:$C$200,O$3)&gt;0,"■","")</f>
        <v>■</v>
      </c>
      <c r="P7" s="15" t="str">
        <f aca="false">IF(COUNTIFS(WBS!$G$4:$G$200,"*"&amp;$A7&amp;"*",WBS!$C$4:$C$200,P$3)&gt;0,"■","")</f>
        <v>■</v>
      </c>
      <c r="Q7" s="15" t="str">
        <f aca="false">IF(COUNTIFS(WBS!$G$4:$G$200,"*"&amp;$A7&amp;"*",WBS!$C$4:$C$200,Q$3)&gt;0,"■","")</f>
        <v>■</v>
      </c>
      <c r="R7" s="15" t="n">
        <f aca="false">COUNTIF(WBS!$G$4:$G$200,"*"&amp;$A7&amp;"*")</f>
        <v>22</v>
      </c>
    </row>
    <row r="8" customFormat="false" ht="15" hidden="false" customHeight="false" outlineLevel="0" collapsed="false">
      <c r="A8" s="15" t="s">
        <v>110</v>
      </c>
      <c r="B8" s="16" t="s">
        <v>111</v>
      </c>
      <c r="C8" s="15" t="str">
        <f aca="false">IF(COUNTIFS(WBS!$G$4:$G$200,"*"&amp;$A8&amp;"*",WBS!$C$4:$C$200,C$3)&gt;0,"■","")</f>
        <v/>
      </c>
      <c r="D8" s="15" t="str">
        <f aca="false">IF(COUNTIFS(WBS!$G$4:$G$200,"*"&amp;$A8&amp;"*",WBS!$C$4:$C$200,D$3)&gt;0,"■","")</f>
        <v>■</v>
      </c>
      <c r="E8" s="15" t="str">
        <f aca="false">IF(COUNTIFS(WBS!$G$4:$G$200,"*"&amp;$A8&amp;"*",WBS!$C$4:$C$200,E$3)&gt;0,"■","")</f>
        <v/>
      </c>
      <c r="F8" s="15" t="str">
        <f aca="false">IF(COUNTIFS(WBS!$G$4:$G$200,"*"&amp;$A8&amp;"*",WBS!$C$4:$C$200,F$3)&gt;0,"■","")</f>
        <v/>
      </c>
      <c r="G8" s="15" t="str">
        <f aca="false">IF(COUNTIFS(WBS!$G$4:$G$200,"*"&amp;$A8&amp;"*",WBS!$C$4:$C$200,G$3)&gt;0,"■","")</f>
        <v/>
      </c>
      <c r="H8" s="15" t="str">
        <f aca="false">IF(COUNTIFS(WBS!$G$4:$G$200,"*"&amp;$A8&amp;"*",WBS!$C$4:$C$200,H$3)&gt;0,"■","")</f>
        <v/>
      </c>
      <c r="I8" s="15" t="str">
        <f aca="false">IF(COUNTIFS(WBS!$G$4:$G$200,"*"&amp;$A8&amp;"*",WBS!$C$4:$C$200,I$3)&gt;0,"■","")</f>
        <v/>
      </c>
      <c r="J8" s="15" t="str">
        <f aca="false">IF(COUNTIFS(WBS!$G$4:$G$200,"*"&amp;$A8&amp;"*",WBS!$C$4:$C$200,J$3)&gt;0,"■","")</f>
        <v/>
      </c>
      <c r="K8" s="15" t="str">
        <f aca="false">IF(COUNTIFS(WBS!$G$4:$G$200,"*"&amp;$A8&amp;"*",WBS!$C$4:$C$200,K$3)&gt;0,"■","")</f>
        <v/>
      </c>
      <c r="L8" s="15" t="str">
        <f aca="false">IF(COUNTIFS(WBS!$G$4:$G$200,"*"&amp;$A8&amp;"*",WBS!$C$4:$C$200,L$3)&gt;0,"■","")</f>
        <v/>
      </c>
      <c r="M8" s="15" t="str">
        <f aca="false">IF(COUNTIFS(WBS!$G$4:$G$200,"*"&amp;$A8&amp;"*",WBS!$C$4:$C$200,M$3)&gt;0,"■","")</f>
        <v/>
      </c>
      <c r="N8" s="15" t="str">
        <f aca="false">IF(COUNTIFS(WBS!$G$4:$G$200,"*"&amp;$A8&amp;"*",WBS!$C$4:$C$200,N$3)&gt;0,"■","")</f>
        <v/>
      </c>
      <c r="O8" s="15" t="str">
        <f aca="false">IF(COUNTIFS(WBS!$G$4:$G$200,"*"&amp;$A8&amp;"*",WBS!$C$4:$C$200,O$3)&gt;0,"■","")</f>
        <v/>
      </c>
      <c r="P8" s="15" t="str">
        <f aca="false">IF(COUNTIFS(WBS!$G$4:$G$200,"*"&amp;$A8&amp;"*",WBS!$C$4:$C$200,P$3)&gt;0,"■","")</f>
        <v/>
      </c>
      <c r="Q8" s="15" t="str">
        <f aca="false">IF(COUNTIFS(WBS!$G$4:$G$200,"*"&amp;$A8&amp;"*",WBS!$C$4:$C$200,Q$3)&gt;0,"■","")</f>
        <v/>
      </c>
      <c r="R8" s="15" t="n">
        <f aca="false">COUNTIF(WBS!$G$4:$G$200,"*"&amp;$A8&amp;"*")</f>
        <v>1</v>
      </c>
    </row>
    <row r="9" customFormat="false" ht="15" hidden="false" customHeight="false" outlineLevel="0" collapsed="false">
      <c r="A9" s="15" t="s">
        <v>117</v>
      </c>
      <c r="B9" s="16" t="s">
        <v>118</v>
      </c>
      <c r="C9" s="15" t="str">
        <f aca="false">IF(COUNTIFS(WBS!$G$4:$G$200,"*"&amp;$A9&amp;"*",WBS!$C$4:$C$200,C$3)&gt;0,"■","")</f>
        <v/>
      </c>
      <c r="D9" s="15" t="str">
        <f aca="false">IF(COUNTIFS(WBS!$G$4:$G$200,"*"&amp;$A9&amp;"*",WBS!$C$4:$C$200,D$3)&gt;0,"■","")</f>
        <v>■</v>
      </c>
      <c r="E9" s="15" t="str">
        <f aca="false">IF(COUNTIFS(WBS!$G$4:$G$200,"*"&amp;$A9&amp;"*",WBS!$C$4:$C$200,E$3)&gt;0,"■","")</f>
        <v/>
      </c>
      <c r="F9" s="15" t="str">
        <f aca="false">IF(COUNTIFS(WBS!$G$4:$G$200,"*"&amp;$A9&amp;"*",WBS!$C$4:$C$200,F$3)&gt;0,"■","")</f>
        <v/>
      </c>
      <c r="G9" s="15" t="str">
        <f aca="false">IF(COUNTIFS(WBS!$G$4:$G$200,"*"&amp;$A9&amp;"*",WBS!$C$4:$C$200,G$3)&gt;0,"■","")</f>
        <v/>
      </c>
      <c r="H9" s="15" t="str">
        <f aca="false">IF(COUNTIFS(WBS!$G$4:$G$200,"*"&amp;$A9&amp;"*",WBS!$C$4:$C$200,H$3)&gt;0,"■","")</f>
        <v/>
      </c>
      <c r="I9" s="15" t="str">
        <f aca="false">IF(COUNTIFS(WBS!$G$4:$G$200,"*"&amp;$A9&amp;"*",WBS!$C$4:$C$200,I$3)&gt;0,"■","")</f>
        <v/>
      </c>
      <c r="J9" s="15" t="str">
        <f aca="false">IF(COUNTIFS(WBS!$G$4:$G$200,"*"&amp;$A9&amp;"*",WBS!$C$4:$C$200,J$3)&gt;0,"■","")</f>
        <v/>
      </c>
      <c r="K9" s="15" t="str">
        <f aca="false">IF(COUNTIFS(WBS!$G$4:$G$200,"*"&amp;$A9&amp;"*",WBS!$C$4:$C$200,K$3)&gt;0,"■","")</f>
        <v/>
      </c>
      <c r="L9" s="15" t="str">
        <f aca="false">IF(COUNTIFS(WBS!$G$4:$G$200,"*"&amp;$A9&amp;"*",WBS!$C$4:$C$200,L$3)&gt;0,"■","")</f>
        <v/>
      </c>
      <c r="M9" s="15" t="str">
        <f aca="false">IF(COUNTIFS(WBS!$G$4:$G$200,"*"&amp;$A9&amp;"*",WBS!$C$4:$C$200,M$3)&gt;0,"■","")</f>
        <v/>
      </c>
      <c r="N9" s="15" t="str">
        <f aca="false">IF(COUNTIFS(WBS!$G$4:$G$200,"*"&amp;$A9&amp;"*",WBS!$C$4:$C$200,N$3)&gt;0,"■","")</f>
        <v/>
      </c>
      <c r="O9" s="15" t="str">
        <f aca="false">IF(COUNTIFS(WBS!$G$4:$G$200,"*"&amp;$A9&amp;"*",WBS!$C$4:$C$200,O$3)&gt;0,"■","")</f>
        <v/>
      </c>
      <c r="P9" s="15" t="str">
        <f aca="false">IF(COUNTIFS(WBS!$G$4:$G$200,"*"&amp;$A9&amp;"*",WBS!$C$4:$C$200,P$3)&gt;0,"■","")</f>
        <v/>
      </c>
      <c r="Q9" s="15" t="str">
        <f aca="false">IF(COUNTIFS(WBS!$G$4:$G$200,"*"&amp;$A9&amp;"*",WBS!$C$4:$C$200,Q$3)&gt;0,"■","")</f>
        <v/>
      </c>
      <c r="R9" s="15" t="n">
        <f aca="false">COUNTIF(WBS!$G$4:$G$200,"*"&amp;$A9&amp;"*")</f>
        <v>1</v>
      </c>
    </row>
    <row r="10" customFormat="false" ht="15" hidden="false" customHeight="false" outlineLevel="0" collapsed="false">
      <c r="A10" s="15" t="s">
        <v>124</v>
      </c>
      <c r="B10" s="16" t="s">
        <v>125</v>
      </c>
      <c r="C10" s="15" t="str">
        <f aca="false">IF(COUNTIFS(WBS!$G$4:$G$200,"*"&amp;$A10&amp;"*",WBS!$C$4:$C$200,C$3)&gt;0,"■","")</f>
        <v/>
      </c>
      <c r="D10" s="15" t="str">
        <f aca="false">IF(COUNTIFS(WBS!$G$4:$G$200,"*"&amp;$A10&amp;"*",WBS!$C$4:$C$200,D$3)&gt;0,"■","")</f>
        <v>■</v>
      </c>
      <c r="E10" s="15" t="str">
        <f aca="false">IF(COUNTIFS(WBS!$G$4:$G$200,"*"&amp;$A10&amp;"*",WBS!$C$4:$C$200,E$3)&gt;0,"■","")</f>
        <v/>
      </c>
      <c r="F10" s="15" t="str">
        <f aca="false">IF(COUNTIFS(WBS!$G$4:$G$200,"*"&amp;$A10&amp;"*",WBS!$C$4:$C$200,F$3)&gt;0,"■","")</f>
        <v/>
      </c>
      <c r="G10" s="15" t="str">
        <f aca="false">IF(COUNTIFS(WBS!$G$4:$G$200,"*"&amp;$A10&amp;"*",WBS!$C$4:$C$200,G$3)&gt;0,"■","")</f>
        <v>■</v>
      </c>
      <c r="H10" s="15" t="str">
        <f aca="false">IF(COUNTIFS(WBS!$G$4:$G$200,"*"&amp;$A10&amp;"*",WBS!$C$4:$C$200,H$3)&gt;0,"■","")</f>
        <v>■</v>
      </c>
      <c r="I10" s="15" t="str">
        <f aca="false">IF(COUNTIFS(WBS!$G$4:$G$200,"*"&amp;$A10&amp;"*",WBS!$C$4:$C$200,I$3)&gt;0,"■","")</f>
        <v/>
      </c>
      <c r="J10" s="15" t="str">
        <f aca="false">IF(COUNTIFS(WBS!$G$4:$G$200,"*"&amp;$A10&amp;"*",WBS!$C$4:$C$200,J$3)&gt;0,"■","")</f>
        <v/>
      </c>
      <c r="K10" s="15" t="str">
        <f aca="false">IF(COUNTIFS(WBS!$G$4:$G$200,"*"&amp;$A10&amp;"*",WBS!$C$4:$C$200,K$3)&gt;0,"■","")</f>
        <v/>
      </c>
      <c r="L10" s="15" t="str">
        <f aca="false">IF(COUNTIFS(WBS!$G$4:$G$200,"*"&amp;$A10&amp;"*",WBS!$C$4:$C$200,L$3)&gt;0,"■","")</f>
        <v/>
      </c>
      <c r="M10" s="15" t="str">
        <f aca="false">IF(COUNTIFS(WBS!$G$4:$G$200,"*"&amp;$A10&amp;"*",WBS!$C$4:$C$200,M$3)&gt;0,"■","")</f>
        <v>■</v>
      </c>
      <c r="N10" s="15" t="str">
        <f aca="false">IF(COUNTIFS(WBS!$G$4:$G$200,"*"&amp;$A10&amp;"*",WBS!$C$4:$C$200,N$3)&gt;0,"■","")</f>
        <v>■</v>
      </c>
      <c r="O10" s="15" t="str">
        <f aca="false">IF(COUNTIFS(WBS!$G$4:$G$200,"*"&amp;$A10&amp;"*",WBS!$C$4:$C$200,O$3)&gt;0,"■","")</f>
        <v>■</v>
      </c>
      <c r="P10" s="15" t="str">
        <f aca="false">IF(COUNTIFS(WBS!$G$4:$G$200,"*"&amp;$A10&amp;"*",WBS!$C$4:$C$200,P$3)&gt;0,"■","")</f>
        <v>■</v>
      </c>
      <c r="Q10" s="15" t="str">
        <f aca="false">IF(COUNTIFS(WBS!$G$4:$G$200,"*"&amp;$A10&amp;"*",WBS!$C$4:$C$200,Q$3)&gt;0,"■","")</f>
        <v/>
      </c>
      <c r="R10" s="15" t="n">
        <f aca="false">COUNTIF(WBS!$G$4:$G$200,"*"&amp;$A10&amp;"*")</f>
        <v>10</v>
      </c>
    </row>
    <row r="11" customFormat="false" ht="15" hidden="false" customHeight="false" outlineLevel="0" collapsed="false">
      <c r="A11" s="15" t="s">
        <v>132</v>
      </c>
      <c r="B11" s="16" t="s">
        <v>133</v>
      </c>
      <c r="C11" s="15" t="str">
        <f aca="false">IF(COUNTIFS(WBS!$G$4:$G$200,"*"&amp;$A11&amp;"*",WBS!$C$4:$C$200,C$3)&gt;0,"■","")</f>
        <v/>
      </c>
      <c r="D11" s="15" t="str">
        <f aca="false">IF(COUNTIFS(WBS!$G$4:$G$200,"*"&amp;$A11&amp;"*",WBS!$C$4:$C$200,D$3)&gt;0,"■","")</f>
        <v/>
      </c>
      <c r="E11" s="15" t="str">
        <f aca="false">IF(COUNTIFS(WBS!$G$4:$G$200,"*"&amp;$A11&amp;"*",WBS!$C$4:$C$200,E$3)&gt;0,"■","")</f>
        <v>■</v>
      </c>
      <c r="F11" s="15" t="str">
        <f aca="false">IF(COUNTIFS(WBS!$G$4:$G$200,"*"&amp;$A11&amp;"*",WBS!$C$4:$C$200,F$3)&gt;0,"■","")</f>
        <v>■</v>
      </c>
      <c r="G11" s="15" t="str">
        <f aca="false">IF(COUNTIFS(WBS!$G$4:$G$200,"*"&amp;$A11&amp;"*",WBS!$C$4:$C$200,G$3)&gt;0,"■","")</f>
        <v/>
      </c>
      <c r="H11" s="15" t="str">
        <f aca="false">IF(COUNTIFS(WBS!$G$4:$G$200,"*"&amp;$A11&amp;"*",WBS!$C$4:$C$200,H$3)&gt;0,"■","")</f>
        <v>■</v>
      </c>
      <c r="I11" s="15" t="str">
        <f aca="false">IF(COUNTIFS(WBS!$G$4:$G$200,"*"&amp;$A11&amp;"*",WBS!$C$4:$C$200,I$3)&gt;0,"■","")</f>
        <v/>
      </c>
      <c r="J11" s="15" t="str">
        <f aca="false">IF(COUNTIFS(WBS!$G$4:$G$200,"*"&amp;$A11&amp;"*",WBS!$C$4:$C$200,J$3)&gt;0,"■","")</f>
        <v/>
      </c>
      <c r="K11" s="15" t="str">
        <f aca="false">IF(COUNTIFS(WBS!$G$4:$G$200,"*"&amp;$A11&amp;"*",WBS!$C$4:$C$200,K$3)&gt;0,"■","")</f>
        <v>■</v>
      </c>
      <c r="L11" s="15" t="str">
        <f aca="false">IF(COUNTIFS(WBS!$G$4:$G$200,"*"&amp;$A11&amp;"*",WBS!$C$4:$C$200,L$3)&gt;0,"■","")</f>
        <v/>
      </c>
      <c r="M11" s="15" t="str">
        <f aca="false">IF(COUNTIFS(WBS!$G$4:$G$200,"*"&amp;$A11&amp;"*",WBS!$C$4:$C$200,M$3)&gt;0,"■","")</f>
        <v/>
      </c>
      <c r="N11" s="15" t="str">
        <f aca="false">IF(COUNTIFS(WBS!$G$4:$G$200,"*"&amp;$A11&amp;"*",WBS!$C$4:$C$200,N$3)&gt;0,"■","")</f>
        <v>■</v>
      </c>
      <c r="O11" s="15" t="str">
        <f aca="false">IF(COUNTIFS(WBS!$G$4:$G$200,"*"&amp;$A11&amp;"*",WBS!$C$4:$C$200,O$3)&gt;0,"■","")</f>
        <v/>
      </c>
      <c r="P11" s="15" t="str">
        <f aca="false">IF(COUNTIFS(WBS!$G$4:$G$200,"*"&amp;$A11&amp;"*",WBS!$C$4:$C$200,P$3)&gt;0,"■","")</f>
        <v/>
      </c>
      <c r="Q11" s="15" t="str">
        <f aca="false">IF(COUNTIFS(WBS!$G$4:$G$200,"*"&amp;$A11&amp;"*",WBS!$C$4:$C$200,Q$3)&gt;0,"■","")</f>
        <v/>
      </c>
      <c r="R11" s="15" t="n">
        <f aca="false">COUNTIF(WBS!$G$4:$G$200,"*"&amp;$A11&amp;"*")</f>
        <v>9</v>
      </c>
    </row>
    <row r="12" customFormat="false" ht="15" hidden="false" customHeight="false" outlineLevel="0" collapsed="false">
      <c r="A12" s="15" t="s">
        <v>140</v>
      </c>
      <c r="B12" s="16" t="s">
        <v>141</v>
      </c>
      <c r="C12" s="15" t="str">
        <f aca="false">IF(COUNTIFS(WBS!$G$4:$G$200,"*"&amp;$A12&amp;"*",WBS!$C$4:$C$200,C$3)&gt;0,"■","")</f>
        <v/>
      </c>
      <c r="D12" s="15" t="str">
        <f aca="false">IF(COUNTIFS(WBS!$G$4:$G$200,"*"&amp;$A12&amp;"*",WBS!$C$4:$C$200,D$3)&gt;0,"■","")</f>
        <v/>
      </c>
      <c r="E12" s="15" t="str">
        <f aca="false">IF(COUNTIFS(WBS!$G$4:$G$200,"*"&amp;$A12&amp;"*",WBS!$C$4:$C$200,E$3)&gt;0,"■","")</f>
        <v>■</v>
      </c>
      <c r="F12" s="15" t="str">
        <f aca="false">IF(COUNTIFS(WBS!$G$4:$G$200,"*"&amp;$A12&amp;"*",WBS!$C$4:$C$200,F$3)&gt;0,"■","")</f>
        <v>■</v>
      </c>
      <c r="G12" s="15" t="str">
        <f aca="false">IF(COUNTIFS(WBS!$G$4:$G$200,"*"&amp;$A12&amp;"*",WBS!$C$4:$C$200,G$3)&gt;0,"■","")</f>
        <v/>
      </c>
      <c r="H12" s="15" t="str">
        <f aca="false">IF(COUNTIFS(WBS!$G$4:$G$200,"*"&amp;$A12&amp;"*",WBS!$C$4:$C$200,H$3)&gt;0,"■","")</f>
        <v>■</v>
      </c>
      <c r="I12" s="15" t="str">
        <f aca="false">IF(COUNTIFS(WBS!$G$4:$G$200,"*"&amp;$A12&amp;"*",WBS!$C$4:$C$200,I$3)&gt;0,"■","")</f>
        <v/>
      </c>
      <c r="J12" s="15" t="str">
        <f aca="false">IF(COUNTIFS(WBS!$G$4:$G$200,"*"&amp;$A12&amp;"*",WBS!$C$4:$C$200,J$3)&gt;0,"■","")</f>
        <v>■</v>
      </c>
      <c r="K12" s="15" t="str">
        <f aca="false">IF(COUNTIFS(WBS!$G$4:$G$200,"*"&amp;$A12&amp;"*",WBS!$C$4:$C$200,K$3)&gt;0,"■","")</f>
        <v/>
      </c>
      <c r="L12" s="15" t="str">
        <f aca="false">IF(COUNTIFS(WBS!$G$4:$G$200,"*"&amp;$A12&amp;"*",WBS!$C$4:$C$200,L$3)&gt;0,"■","")</f>
        <v/>
      </c>
      <c r="M12" s="15" t="str">
        <f aca="false">IF(COUNTIFS(WBS!$G$4:$G$200,"*"&amp;$A12&amp;"*",WBS!$C$4:$C$200,M$3)&gt;0,"■","")</f>
        <v/>
      </c>
      <c r="N12" s="15" t="str">
        <f aca="false">IF(COUNTIFS(WBS!$G$4:$G$200,"*"&amp;$A12&amp;"*",WBS!$C$4:$C$200,N$3)&gt;0,"■","")</f>
        <v>■</v>
      </c>
      <c r="O12" s="15" t="str">
        <f aca="false">IF(COUNTIFS(WBS!$G$4:$G$200,"*"&amp;$A12&amp;"*",WBS!$C$4:$C$200,O$3)&gt;0,"■","")</f>
        <v/>
      </c>
      <c r="P12" s="15" t="str">
        <f aca="false">IF(COUNTIFS(WBS!$G$4:$G$200,"*"&amp;$A12&amp;"*",WBS!$C$4:$C$200,P$3)&gt;0,"■","")</f>
        <v/>
      </c>
      <c r="Q12" s="15" t="str">
        <f aca="false">IF(COUNTIFS(WBS!$G$4:$G$200,"*"&amp;$A12&amp;"*",WBS!$C$4:$C$200,Q$3)&gt;0,"■","")</f>
        <v>■</v>
      </c>
      <c r="R12" s="15" t="n">
        <f aca="false">COUNTIF(WBS!$G$4:$G$200,"*"&amp;$A12&amp;"*")</f>
        <v>16</v>
      </c>
    </row>
    <row r="13" customFormat="false" ht="15" hidden="false" customHeight="false" outlineLevel="0" collapsed="false">
      <c r="A13" s="15" t="s">
        <v>146</v>
      </c>
      <c r="B13" s="16" t="s">
        <v>147</v>
      </c>
      <c r="C13" s="15" t="str">
        <f aca="false">IF(COUNTIFS(WBS!$G$4:$G$200,"*"&amp;$A13&amp;"*",WBS!$C$4:$C$200,C$3)&gt;0,"■","")</f>
        <v/>
      </c>
      <c r="D13" s="15" t="str">
        <f aca="false">IF(COUNTIFS(WBS!$G$4:$G$200,"*"&amp;$A13&amp;"*",WBS!$C$4:$C$200,D$3)&gt;0,"■","")</f>
        <v/>
      </c>
      <c r="E13" s="15" t="str">
        <f aca="false">IF(COUNTIFS(WBS!$G$4:$G$200,"*"&amp;$A13&amp;"*",WBS!$C$4:$C$200,E$3)&gt;0,"■","")</f>
        <v>■</v>
      </c>
      <c r="F13" s="15" t="str">
        <f aca="false">IF(COUNTIFS(WBS!$G$4:$G$200,"*"&amp;$A13&amp;"*",WBS!$C$4:$C$200,F$3)&gt;0,"■","")</f>
        <v>■</v>
      </c>
      <c r="G13" s="15" t="str">
        <f aca="false">IF(COUNTIFS(WBS!$G$4:$G$200,"*"&amp;$A13&amp;"*",WBS!$C$4:$C$200,G$3)&gt;0,"■","")</f>
        <v/>
      </c>
      <c r="H13" s="15" t="str">
        <f aca="false">IF(COUNTIFS(WBS!$G$4:$G$200,"*"&amp;$A13&amp;"*",WBS!$C$4:$C$200,H$3)&gt;0,"■","")</f>
        <v>■</v>
      </c>
      <c r="I13" s="15" t="str">
        <f aca="false">IF(COUNTIFS(WBS!$G$4:$G$200,"*"&amp;$A13&amp;"*",WBS!$C$4:$C$200,I$3)&gt;0,"■","")</f>
        <v/>
      </c>
      <c r="J13" s="15" t="str">
        <f aca="false">IF(COUNTIFS(WBS!$G$4:$G$200,"*"&amp;$A13&amp;"*",WBS!$C$4:$C$200,J$3)&gt;0,"■","")</f>
        <v>■</v>
      </c>
      <c r="K13" s="15" t="str">
        <f aca="false">IF(COUNTIFS(WBS!$G$4:$G$200,"*"&amp;$A13&amp;"*",WBS!$C$4:$C$200,K$3)&gt;0,"■","")</f>
        <v/>
      </c>
      <c r="L13" s="15" t="str">
        <f aca="false">IF(COUNTIFS(WBS!$G$4:$G$200,"*"&amp;$A13&amp;"*",WBS!$C$4:$C$200,L$3)&gt;0,"■","")</f>
        <v/>
      </c>
      <c r="M13" s="15" t="str">
        <f aca="false">IF(COUNTIFS(WBS!$G$4:$G$200,"*"&amp;$A13&amp;"*",WBS!$C$4:$C$200,M$3)&gt;0,"■","")</f>
        <v/>
      </c>
      <c r="N13" s="15" t="str">
        <f aca="false">IF(COUNTIFS(WBS!$G$4:$G$200,"*"&amp;$A13&amp;"*",WBS!$C$4:$C$200,N$3)&gt;0,"■","")</f>
        <v>■</v>
      </c>
      <c r="O13" s="15" t="str">
        <f aca="false">IF(COUNTIFS(WBS!$G$4:$G$200,"*"&amp;$A13&amp;"*",WBS!$C$4:$C$200,O$3)&gt;0,"■","")</f>
        <v>■</v>
      </c>
      <c r="P13" s="15" t="str">
        <f aca="false">IF(COUNTIFS(WBS!$G$4:$G$200,"*"&amp;$A13&amp;"*",WBS!$C$4:$C$200,P$3)&gt;0,"■","")</f>
        <v>■</v>
      </c>
      <c r="Q13" s="15" t="str">
        <f aca="false">IF(COUNTIFS(WBS!$G$4:$G$200,"*"&amp;$A13&amp;"*",WBS!$C$4:$C$200,Q$3)&gt;0,"■","")</f>
        <v>■</v>
      </c>
      <c r="R13" s="15" t="n">
        <f aca="false">COUNTIF(WBS!$G$4:$G$200,"*"&amp;$A13&amp;"*")</f>
        <v>10</v>
      </c>
    </row>
    <row r="14" customFormat="false" ht="15" hidden="false" customHeight="false" outlineLevel="0" collapsed="false">
      <c r="A14" s="15" t="s">
        <v>152</v>
      </c>
      <c r="B14" s="16" t="s">
        <v>153</v>
      </c>
      <c r="C14" s="15" t="str">
        <f aca="false">IF(COUNTIFS(WBS!$G$4:$G$200,"*"&amp;$A14&amp;"*",WBS!$C$4:$C$200,C$3)&gt;0,"■","")</f>
        <v/>
      </c>
      <c r="D14" s="15" t="str">
        <f aca="false">IF(COUNTIFS(WBS!$G$4:$G$200,"*"&amp;$A14&amp;"*",WBS!$C$4:$C$200,D$3)&gt;0,"■","")</f>
        <v/>
      </c>
      <c r="E14" s="15" t="str">
        <f aca="false">IF(COUNTIFS(WBS!$G$4:$G$200,"*"&amp;$A14&amp;"*",WBS!$C$4:$C$200,E$3)&gt;0,"■","")</f>
        <v>■</v>
      </c>
      <c r="F14" s="15" t="str">
        <f aca="false">IF(COUNTIFS(WBS!$G$4:$G$200,"*"&amp;$A14&amp;"*",WBS!$C$4:$C$200,F$3)&gt;0,"■","")</f>
        <v>■</v>
      </c>
      <c r="G14" s="15" t="str">
        <f aca="false">IF(COUNTIFS(WBS!$G$4:$G$200,"*"&amp;$A14&amp;"*",WBS!$C$4:$C$200,G$3)&gt;0,"■","")</f>
        <v/>
      </c>
      <c r="H14" s="15" t="str">
        <f aca="false">IF(COUNTIFS(WBS!$G$4:$G$200,"*"&amp;$A14&amp;"*",WBS!$C$4:$C$200,H$3)&gt;0,"■","")</f>
        <v>■</v>
      </c>
      <c r="I14" s="15" t="str">
        <f aca="false">IF(COUNTIFS(WBS!$G$4:$G$200,"*"&amp;$A14&amp;"*",WBS!$C$4:$C$200,I$3)&gt;0,"■","")</f>
        <v/>
      </c>
      <c r="J14" s="15" t="str">
        <f aca="false">IF(COUNTIFS(WBS!$G$4:$G$200,"*"&amp;$A14&amp;"*",WBS!$C$4:$C$200,J$3)&gt;0,"■","")</f>
        <v>■</v>
      </c>
      <c r="K14" s="15" t="str">
        <f aca="false">IF(COUNTIFS(WBS!$G$4:$G$200,"*"&amp;$A14&amp;"*",WBS!$C$4:$C$200,K$3)&gt;0,"■","")</f>
        <v/>
      </c>
      <c r="L14" s="15" t="str">
        <f aca="false">IF(COUNTIFS(WBS!$G$4:$G$200,"*"&amp;$A14&amp;"*",WBS!$C$4:$C$200,L$3)&gt;0,"■","")</f>
        <v/>
      </c>
      <c r="M14" s="15" t="str">
        <f aca="false">IF(COUNTIFS(WBS!$G$4:$G$200,"*"&amp;$A14&amp;"*",WBS!$C$4:$C$200,M$3)&gt;0,"■","")</f>
        <v/>
      </c>
      <c r="N14" s="15" t="str">
        <f aca="false">IF(COUNTIFS(WBS!$G$4:$G$200,"*"&amp;$A14&amp;"*",WBS!$C$4:$C$200,N$3)&gt;0,"■","")</f>
        <v>■</v>
      </c>
      <c r="O14" s="15" t="str">
        <f aca="false">IF(COUNTIFS(WBS!$G$4:$G$200,"*"&amp;$A14&amp;"*",WBS!$C$4:$C$200,O$3)&gt;0,"■","")</f>
        <v>■</v>
      </c>
      <c r="P14" s="15" t="str">
        <f aca="false">IF(COUNTIFS(WBS!$G$4:$G$200,"*"&amp;$A14&amp;"*",WBS!$C$4:$C$200,P$3)&gt;0,"■","")</f>
        <v>■</v>
      </c>
      <c r="Q14" s="15" t="str">
        <f aca="false">IF(COUNTIFS(WBS!$G$4:$G$200,"*"&amp;$A14&amp;"*",WBS!$C$4:$C$200,Q$3)&gt;0,"■","")</f>
        <v>■</v>
      </c>
      <c r="R14" s="15" t="n">
        <f aca="false">COUNTIF(WBS!$G$4:$G$200,"*"&amp;$A14&amp;"*")</f>
        <v>12</v>
      </c>
    </row>
    <row r="15" customFormat="false" ht="15" hidden="false" customHeight="false" outlineLevel="0" collapsed="false">
      <c r="A15" s="15" t="s">
        <v>158</v>
      </c>
      <c r="B15" s="16" t="s">
        <v>159</v>
      </c>
      <c r="C15" s="15" t="str">
        <f aca="false">IF(COUNTIFS(WBS!$G$4:$G$200,"*"&amp;$A15&amp;"*",WBS!$C$4:$C$200,C$3)&gt;0,"■","")</f>
        <v/>
      </c>
      <c r="D15" s="15" t="str">
        <f aca="false">IF(COUNTIFS(WBS!$G$4:$G$200,"*"&amp;$A15&amp;"*",WBS!$C$4:$C$200,D$3)&gt;0,"■","")</f>
        <v/>
      </c>
      <c r="E15" s="15" t="str">
        <f aca="false">IF(COUNTIFS(WBS!$G$4:$G$200,"*"&amp;$A15&amp;"*",WBS!$C$4:$C$200,E$3)&gt;0,"■","")</f>
        <v>■</v>
      </c>
      <c r="F15" s="15" t="str">
        <f aca="false">IF(COUNTIFS(WBS!$G$4:$G$200,"*"&amp;$A15&amp;"*",WBS!$C$4:$C$200,F$3)&gt;0,"■","")</f>
        <v>■</v>
      </c>
      <c r="G15" s="15" t="str">
        <f aca="false">IF(COUNTIFS(WBS!$G$4:$G$200,"*"&amp;$A15&amp;"*",WBS!$C$4:$C$200,G$3)&gt;0,"■","")</f>
        <v/>
      </c>
      <c r="H15" s="15" t="str">
        <f aca="false">IF(COUNTIFS(WBS!$G$4:$G$200,"*"&amp;$A15&amp;"*",WBS!$C$4:$C$200,H$3)&gt;0,"■","")</f>
        <v>■</v>
      </c>
      <c r="I15" s="15" t="str">
        <f aca="false">IF(COUNTIFS(WBS!$G$4:$G$200,"*"&amp;$A15&amp;"*",WBS!$C$4:$C$200,I$3)&gt;0,"■","")</f>
        <v/>
      </c>
      <c r="J15" s="15" t="str">
        <f aca="false">IF(COUNTIFS(WBS!$G$4:$G$200,"*"&amp;$A15&amp;"*",WBS!$C$4:$C$200,J$3)&gt;0,"■","")</f>
        <v>■</v>
      </c>
      <c r="K15" s="15" t="str">
        <f aca="false">IF(COUNTIFS(WBS!$G$4:$G$200,"*"&amp;$A15&amp;"*",WBS!$C$4:$C$200,K$3)&gt;0,"■","")</f>
        <v/>
      </c>
      <c r="L15" s="15" t="str">
        <f aca="false">IF(COUNTIFS(WBS!$G$4:$G$200,"*"&amp;$A15&amp;"*",WBS!$C$4:$C$200,L$3)&gt;0,"■","")</f>
        <v/>
      </c>
      <c r="M15" s="15" t="str">
        <f aca="false">IF(COUNTIFS(WBS!$G$4:$G$200,"*"&amp;$A15&amp;"*",WBS!$C$4:$C$200,M$3)&gt;0,"■","")</f>
        <v/>
      </c>
      <c r="N15" s="15" t="str">
        <f aca="false">IF(COUNTIFS(WBS!$G$4:$G$200,"*"&amp;$A15&amp;"*",WBS!$C$4:$C$200,N$3)&gt;0,"■","")</f>
        <v>■</v>
      </c>
      <c r="O15" s="15" t="str">
        <f aca="false">IF(COUNTIFS(WBS!$G$4:$G$200,"*"&amp;$A15&amp;"*",WBS!$C$4:$C$200,O$3)&gt;0,"■","")</f>
        <v>■</v>
      </c>
      <c r="P15" s="15" t="str">
        <f aca="false">IF(COUNTIFS(WBS!$G$4:$G$200,"*"&amp;$A15&amp;"*",WBS!$C$4:$C$200,P$3)&gt;0,"■","")</f>
        <v/>
      </c>
      <c r="Q15" s="15" t="str">
        <f aca="false">IF(COUNTIFS(WBS!$G$4:$G$200,"*"&amp;$A15&amp;"*",WBS!$C$4:$C$200,Q$3)&gt;0,"■","")</f>
        <v/>
      </c>
      <c r="R15" s="15" t="n">
        <f aca="false">COUNTIF(WBS!$G$4:$G$200,"*"&amp;$A15&amp;"*")</f>
        <v>8</v>
      </c>
    </row>
    <row r="16" customFormat="false" ht="15" hidden="false" customHeight="false" outlineLevel="0" collapsed="false">
      <c r="A16" s="15" t="s">
        <v>164</v>
      </c>
      <c r="B16" s="16" t="s">
        <v>165</v>
      </c>
      <c r="C16" s="15" t="str">
        <f aca="false">IF(COUNTIFS(WBS!$G$4:$G$200,"*"&amp;$A16&amp;"*",WBS!$C$4:$C$200,C$3)&gt;0,"■","")</f>
        <v/>
      </c>
      <c r="D16" s="15" t="str">
        <f aca="false">IF(COUNTIFS(WBS!$G$4:$G$200,"*"&amp;$A16&amp;"*",WBS!$C$4:$C$200,D$3)&gt;0,"■","")</f>
        <v/>
      </c>
      <c r="E16" s="15" t="str">
        <f aca="false">IF(COUNTIFS(WBS!$G$4:$G$200,"*"&amp;$A16&amp;"*",WBS!$C$4:$C$200,E$3)&gt;0,"■","")</f>
        <v/>
      </c>
      <c r="F16" s="15" t="str">
        <f aca="false">IF(COUNTIFS(WBS!$G$4:$G$200,"*"&amp;$A16&amp;"*",WBS!$C$4:$C$200,F$3)&gt;0,"■","")</f>
        <v>■</v>
      </c>
      <c r="G16" s="15" t="str">
        <f aca="false">IF(COUNTIFS(WBS!$G$4:$G$200,"*"&amp;$A16&amp;"*",WBS!$C$4:$C$200,G$3)&gt;0,"■","")</f>
        <v>■</v>
      </c>
      <c r="H16" s="15" t="str">
        <f aca="false">IF(COUNTIFS(WBS!$G$4:$G$200,"*"&amp;$A16&amp;"*",WBS!$C$4:$C$200,H$3)&gt;0,"■","")</f>
        <v/>
      </c>
      <c r="I16" s="15" t="str">
        <f aca="false">IF(COUNTIFS(WBS!$G$4:$G$200,"*"&amp;$A16&amp;"*",WBS!$C$4:$C$200,I$3)&gt;0,"■","")</f>
        <v/>
      </c>
      <c r="J16" s="15" t="str">
        <f aca="false">IF(COUNTIFS(WBS!$G$4:$G$200,"*"&amp;$A16&amp;"*",WBS!$C$4:$C$200,J$3)&gt;0,"■","")</f>
        <v/>
      </c>
      <c r="K16" s="15" t="str">
        <f aca="false">IF(COUNTIFS(WBS!$G$4:$G$200,"*"&amp;$A16&amp;"*",WBS!$C$4:$C$200,K$3)&gt;0,"■","")</f>
        <v>■</v>
      </c>
      <c r="L16" s="15" t="str">
        <f aca="false">IF(COUNTIFS(WBS!$G$4:$G$200,"*"&amp;$A16&amp;"*",WBS!$C$4:$C$200,L$3)&gt;0,"■","")</f>
        <v/>
      </c>
      <c r="M16" s="15" t="str">
        <f aca="false">IF(COUNTIFS(WBS!$G$4:$G$200,"*"&amp;$A16&amp;"*",WBS!$C$4:$C$200,M$3)&gt;0,"■","")</f>
        <v/>
      </c>
      <c r="N16" s="15" t="str">
        <f aca="false">IF(COUNTIFS(WBS!$G$4:$G$200,"*"&amp;$A16&amp;"*",WBS!$C$4:$C$200,N$3)&gt;0,"■","")</f>
        <v/>
      </c>
      <c r="O16" s="15" t="str">
        <f aca="false">IF(COUNTIFS(WBS!$G$4:$G$200,"*"&amp;$A16&amp;"*",WBS!$C$4:$C$200,O$3)&gt;0,"■","")</f>
        <v>■</v>
      </c>
      <c r="P16" s="15" t="str">
        <f aca="false">IF(COUNTIFS(WBS!$G$4:$G$200,"*"&amp;$A16&amp;"*",WBS!$C$4:$C$200,P$3)&gt;0,"■","")</f>
        <v>■</v>
      </c>
      <c r="Q16" s="15" t="str">
        <f aca="false">IF(COUNTIFS(WBS!$G$4:$G$200,"*"&amp;$A16&amp;"*",WBS!$C$4:$C$200,Q$3)&gt;0,"■","")</f>
        <v>■</v>
      </c>
      <c r="R16" s="15" t="n">
        <f aca="false">COUNTIF(WBS!$G$4:$G$200,"*"&amp;$A16&amp;"*")</f>
        <v>9</v>
      </c>
    </row>
    <row r="17" customFormat="false" ht="15" hidden="false" customHeight="false" outlineLevel="0" collapsed="false">
      <c r="A17" s="15" t="s">
        <v>174</v>
      </c>
      <c r="B17" s="16" t="s">
        <v>175</v>
      </c>
      <c r="C17" s="15" t="str">
        <f aca="false">IF(COUNTIFS(WBS!$G$4:$G$200,"*"&amp;$A17&amp;"*",WBS!$C$4:$C$200,C$3)&gt;0,"■","")</f>
        <v/>
      </c>
      <c r="D17" s="15" t="str">
        <f aca="false">IF(COUNTIFS(WBS!$G$4:$G$200,"*"&amp;$A17&amp;"*",WBS!$C$4:$C$200,D$3)&gt;0,"■","")</f>
        <v/>
      </c>
      <c r="E17" s="15" t="str">
        <f aca="false">IF(COUNTIFS(WBS!$G$4:$G$200,"*"&amp;$A17&amp;"*",WBS!$C$4:$C$200,E$3)&gt;0,"■","")</f>
        <v/>
      </c>
      <c r="F17" s="15" t="str">
        <f aca="false">IF(COUNTIFS(WBS!$G$4:$G$200,"*"&amp;$A17&amp;"*",WBS!$C$4:$C$200,F$3)&gt;0,"■","")</f>
        <v/>
      </c>
      <c r="G17" s="15" t="str">
        <f aca="false">IF(COUNTIFS(WBS!$G$4:$G$200,"*"&amp;$A17&amp;"*",WBS!$C$4:$C$200,G$3)&gt;0,"■","")</f>
        <v>■</v>
      </c>
      <c r="H17" s="15" t="str">
        <f aca="false">IF(COUNTIFS(WBS!$G$4:$G$200,"*"&amp;$A17&amp;"*",WBS!$C$4:$C$200,H$3)&gt;0,"■","")</f>
        <v/>
      </c>
      <c r="I17" s="15" t="str">
        <f aca="false">IF(COUNTIFS(WBS!$G$4:$G$200,"*"&amp;$A17&amp;"*",WBS!$C$4:$C$200,I$3)&gt;0,"■","")</f>
        <v/>
      </c>
      <c r="J17" s="15" t="str">
        <f aca="false">IF(COUNTIFS(WBS!$G$4:$G$200,"*"&amp;$A17&amp;"*",WBS!$C$4:$C$200,J$3)&gt;0,"■","")</f>
        <v/>
      </c>
      <c r="K17" s="15" t="str">
        <f aca="false">IF(COUNTIFS(WBS!$G$4:$G$200,"*"&amp;$A17&amp;"*",WBS!$C$4:$C$200,K$3)&gt;0,"■","")</f>
        <v/>
      </c>
      <c r="L17" s="15" t="str">
        <f aca="false">IF(COUNTIFS(WBS!$G$4:$G$200,"*"&amp;$A17&amp;"*",WBS!$C$4:$C$200,L$3)&gt;0,"■","")</f>
        <v/>
      </c>
      <c r="M17" s="15" t="str">
        <f aca="false">IF(COUNTIFS(WBS!$G$4:$G$200,"*"&amp;$A17&amp;"*",WBS!$C$4:$C$200,M$3)&gt;0,"■","")</f>
        <v/>
      </c>
      <c r="N17" s="15" t="str">
        <f aca="false">IF(COUNTIFS(WBS!$G$4:$G$200,"*"&amp;$A17&amp;"*",WBS!$C$4:$C$200,N$3)&gt;0,"■","")</f>
        <v>■</v>
      </c>
      <c r="O17" s="15" t="str">
        <f aca="false">IF(COUNTIFS(WBS!$G$4:$G$200,"*"&amp;$A17&amp;"*",WBS!$C$4:$C$200,O$3)&gt;0,"■","")</f>
        <v>■</v>
      </c>
      <c r="P17" s="15" t="str">
        <f aca="false">IF(COUNTIFS(WBS!$G$4:$G$200,"*"&amp;$A17&amp;"*",WBS!$C$4:$C$200,P$3)&gt;0,"■","")</f>
        <v>■</v>
      </c>
      <c r="Q17" s="15" t="str">
        <f aca="false">IF(COUNTIFS(WBS!$G$4:$G$200,"*"&amp;$A17&amp;"*",WBS!$C$4:$C$200,Q$3)&gt;0,"■","")</f>
        <v>■</v>
      </c>
      <c r="R17" s="15" t="n">
        <f aca="false">COUNTIF(WBS!$G$4:$G$200,"*"&amp;$A17&amp;"*")</f>
        <v>7</v>
      </c>
    </row>
    <row r="18" customFormat="false" ht="15" hidden="false" customHeight="false" outlineLevel="0" collapsed="false">
      <c r="A18" s="15" t="s">
        <v>183</v>
      </c>
      <c r="B18" s="16" t="s">
        <v>184</v>
      </c>
      <c r="C18" s="15" t="str">
        <f aca="false">IF(COUNTIFS(WBS!$G$4:$G$200,"*"&amp;$A18&amp;"*",WBS!$C$4:$C$200,C$3)&gt;0,"■","")</f>
        <v/>
      </c>
      <c r="D18" s="15" t="str">
        <f aca="false">IF(COUNTIFS(WBS!$G$4:$G$200,"*"&amp;$A18&amp;"*",WBS!$C$4:$C$200,D$3)&gt;0,"■","")</f>
        <v/>
      </c>
      <c r="E18" s="15" t="str">
        <f aca="false">IF(COUNTIFS(WBS!$G$4:$G$200,"*"&amp;$A18&amp;"*",WBS!$C$4:$C$200,E$3)&gt;0,"■","")</f>
        <v/>
      </c>
      <c r="F18" s="15" t="str">
        <f aca="false">IF(COUNTIFS(WBS!$G$4:$G$200,"*"&amp;$A18&amp;"*",WBS!$C$4:$C$200,F$3)&gt;0,"■","")</f>
        <v/>
      </c>
      <c r="G18" s="15" t="str">
        <f aca="false">IF(COUNTIFS(WBS!$G$4:$G$200,"*"&amp;$A18&amp;"*",WBS!$C$4:$C$200,G$3)&gt;0,"■","")</f>
        <v/>
      </c>
      <c r="H18" s="15" t="str">
        <f aca="false">IF(COUNTIFS(WBS!$G$4:$G$200,"*"&amp;$A18&amp;"*",WBS!$C$4:$C$200,H$3)&gt;0,"■","")</f>
        <v>■</v>
      </c>
      <c r="I18" s="15" t="str">
        <f aca="false">IF(COUNTIFS(WBS!$G$4:$G$200,"*"&amp;$A18&amp;"*",WBS!$C$4:$C$200,I$3)&gt;0,"■","")</f>
        <v/>
      </c>
      <c r="J18" s="15" t="str">
        <f aca="false">IF(COUNTIFS(WBS!$G$4:$G$200,"*"&amp;$A18&amp;"*",WBS!$C$4:$C$200,J$3)&gt;0,"■","")</f>
        <v/>
      </c>
      <c r="K18" s="15" t="str">
        <f aca="false">IF(COUNTIFS(WBS!$G$4:$G$200,"*"&amp;$A18&amp;"*",WBS!$C$4:$C$200,K$3)&gt;0,"■","")</f>
        <v/>
      </c>
      <c r="L18" s="15" t="str">
        <f aca="false">IF(COUNTIFS(WBS!$G$4:$G$200,"*"&amp;$A18&amp;"*",WBS!$C$4:$C$200,L$3)&gt;0,"■","")</f>
        <v/>
      </c>
      <c r="M18" s="15" t="str">
        <f aca="false">IF(COUNTIFS(WBS!$G$4:$G$200,"*"&amp;$A18&amp;"*",WBS!$C$4:$C$200,M$3)&gt;0,"■","")</f>
        <v/>
      </c>
      <c r="N18" s="15" t="str">
        <f aca="false">IF(COUNTIFS(WBS!$G$4:$G$200,"*"&amp;$A18&amp;"*",WBS!$C$4:$C$200,N$3)&gt;0,"■","")</f>
        <v>■</v>
      </c>
      <c r="O18" s="15" t="str">
        <f aca="false">IF(COUNTIFS(WBS!$G$4:$G$200,"*"&amp;$A18&amp;"*",WBS!$C$4:$C$200,O$3)&gt;0,"■","")</f>
        <v/>
      </c>
      <c r="P18" s="15" t="str">
        <f aca="false">IF(COUNTIFS(WBS!$G$4:$G$200,"*"&amp;$A18&amp;"*",WBS!$C$4:$C$200,P$3)&gt;0,"■","")</f>
        <v/>
      </c>
      <c r="Q18" s="15" t="str">
        <f aca="false">IF(COUNTIFS(WBS!$G$4:$G$200,"*"&amp;$A18&amp;"*",WBS!$C$4:$C$200,Q$3)&gt;0,"■","")</f>
        <v/>
      </c>
      <c r="R18" s="15" t="n">
        <f aca="false">COUNTIF(WBS!$G$4:$G$200,"*"&amp;$A18&amp;"*")</f>
        <v>3</v>
      </c>
    </row>
    <row r="19" customFormat="false" ht="15" hidden="false" customHeight="false" outlineLevel="0" collapsed="false">
      <c r="A19" s="15" t="s">
        <v>192</v>
      </c>
      <c r="B19" s="16" t="s">
        <v>193</v>
      </c>
      <c r="C19" s="15" t="str">
        <f aca="false">IF(COUNTIFS(WBS!$G$4:$G$200,"*"&amp;$A19&amp;"*",WBS!$C$4:$C$200,C$3)&gt;0,"■","")</f>
        <v/>
      </c>
      <c r="D19" s="15" t="str">
        <f aca="false">IF(COUNTIFS(WBS!$G$4:$G$200,"*"&amp;$A19&amp;"*",WBS!$C$4:$C$200,D$3)&gt;0,"■","")</f>
        <v/>
      </c>
      <c r="E19" s="15" t="str">
        <f aca="false">IF(COUNTIFS(WBS!$G$4:$G$200,"*"&amp;$A19&amp;"*",WBS!$C$4:$C$200,E$3)&gt;0,"■","")</f>
        <v/>
      </c>
      <c r="F19" s="15" t="str">
        <f aca="false">IF(COUNTIFS(WBS!$G$4:$G$200,"*"&amp;$A19&amp;"*",WBS!$C$4:$C$200,F$3)&gt;0,"■","")</f>
        <v/>
      </c>
      <c r="G19" s="15" t="str">
        <f aca="false">IF(COUNTIFS(WBS!$G$4:$G$200,"*"&amp;$A19&amp;"*",WBS!$C$4:$C$200,G$3)&gt;0,"■","")</f>
        <v/>
      </c>
      <c r="H19" s="15" t="str">
        <f aca="false">IF(COUNTIFS(WBS!$G$4:$G$200,"*"&amp;$A19&amp;"*",WBS!$C$4:$C$200,H$3)&gt;0,"■","")</f>
        <v/>
      </c>
      <c r="I19" s="15" t="str">
        <f aca="false">IF(COUNTIFS(WBS!$G$4:$G$200,"*"&amp;$A19&amp;"*",WBS!$C$4:$C$200,I$3)&gt;0,"■","")</f>
        <v>■</v>
      </c>
      <c r="J19" s="15" t="str">
        <f aca="false">IF(COUNTIFS(WBS!$G$4:$G$200,"*"&amp;$A19&amp;"*",WBS!$C$4:$C$200,J$3)&gt;0,"■","")</f>
        <v/>
      </c>
      <c r="K19" s="15" t="str">
        <f aca="false">IF(COUNTIFS(WBS!$G$4:$G$200,"*"&amp;$A19&amp;"*",WBS!$C$4:$C$200,K$3)&gt;0,"■","")</f>
        <v/>
      </c>
      <c r="L19" s="15" t="str">
        <f aca="false">IF(COUNTIFS(WBS!$G$4:$G$200,"*"&amp;$A19&amp;"*",WBS!$C$4:$C$200,L$3)&gt;0,"■","")</f>
        <v/>
      </c>
      <c r="M19" s="15" t="str">
        <f aca="false">IF(COUNTIFS(WBS!$G$4:$G$200,"*"&amp;$A19&amp;"*",WBS!$C$4:$C$200,M$3)&gt;0,"■","")</f>
        <v/>
      </c>
      <c r="N19" s="15" t="str">
        <f aca="false">IF(COUNTIFS(WBS!$G$4:$G$200,"*"&amp;$A19&amp;"*",WBS!$C$4:$C$200,N$3)&gt;0,"■","")</f>
        <v>■</v>
      </c>
      <c r="O19" s="15" t="str">
        <f aca="false">IF(COUNTIFS(WBS!$G$4:$G$200,"*"&amp;$A19&amp;"*",WBS!$C$4:$C$200,O$3)&gt;0,"■","")</f>
        <v>■</v>
      </c>
      <c r="P19" s="15" t="str">
        <f aca="false">IF(COUNTIFS(WBS!$G$4:$G$200,"*"&amp;$A19&amp;"*",WBS!$C$4:$C$200,P$3)&gt;0,"■","")</f>
        <v>■</v>
      </c>
      <c r="Q19" s="15" t="str">
        <f aca="false">IF(COUNTIFS(WBS!$G$4:$G$200,"*"&amp;$A19&amp;"*",WBS!$C$4:$C$200,Q$3)&gt;0,"■","")</f>
        <v>■</v>
      </c>
      <c r="R19" s="15" t="n">
        <f aca="false">COUNTIF(WBS!$G$4:$G$200,"*"&amp;$A19&amp;"*")</f>
        <v>8</v>
      </c>
    </row>
    <row r="20" customFormat="false" ht="15" hidden="false" customHeight="false" outlineLevel="0" collapsed="false">
      <c r="A20" s="15" t="s">
        <v>200</v>
      </c>
      <c r="B20" s="16" t="s">
        <v>201</v>
      </c>
      <c r="C20" s="15" t="str">
        <f aca="false">IF(COUNTIFS(WBS!$G$4:$G$200,"*"&amp;$A20&amp;"*",WBS!$C$4:$C$200,C$3)&gt;0,"■","")</f>
        <v/>
      </c>
      <c r="D20" s="15" t="str">
        <f aca="false">IF(COUNTIFS(WBS!$G$4:$G$200,"*"&amp;$A20&amp;"*",WBS!$C$4:$C$200,D$3)&gt;0,"■","")</f>
        <v/>
      </c>
      <c r="E20" s="15" t="str">
        <f aca="false">IF(COUNTIFS(WBS!$G$4:$G$200,"*"&amp;$A20&amp;"*",WBS!$C$4:$C$200,E$3)&gt;0,"■","")</f>
        <v>■</v>
      </c>
      <c r="F20" s="15" t="str">
        <f aca="false">IF(COUNTIFS(WBS!$G$4:$G$200,"*"&amp;$A20&amp;"*",WBS!$C$4:$C$200,F$3)&gt;0,"■","")</f>
        <v/>
      </c>
      <c r="G20" s="15" t="str">
        <f aca="false">IF(COUNTIFS(WBS!$G$4:$G$200,"*"&amp;$A20&amp;"*",WBS!$C$4:$C$200,G$3)&gt;0,"■","")</f>
        <v/>
      </c>
      <c r="H20" s="15" t="str">
        <f aca="false">IF(COUNTIFS(WBS!$G$4:$G$200,"*"&amp;$A20&amp;"*",WBS!$C$4:$C$200,H$3)&gt;0,"■","")</f>
        <v/>
      </c>
      <c r="I20" s="15" t="str">
        <f aca="false">IF(COUNTIFS(WBS!$G$4:$G$200,"*"&amp;$A20&amp;"*",WBS!$C$4:$C$200,I$3)&gt;0,"■","")</f>
        <v/>
      </c>
      <c r="J20" s="15" t="str">
        <f aca="false">IF(COUNTIFS(WBS!$G$4:$G$200,"*"&amp;$A20&amp;"*",WBS!$C$4:$C$200,J$3)&gt;0,"■","")</f>
        <v/>
      </c>
      <c r="K20" s="15" t="str">
        <f aca="false">IF(COUNTIFS(WBS!$G$4:$G$200,"*"&amp;$A20&amp;"*",WBS!$C$4:$C$200,K$3)&gt;0,"■","")</f>
        <v/>
      </c>
      <c r="L20" s="15" t="str">
        <f aca="false">IF(COUNTIFS(WBS!$G$4:$G$200,"*"&amp;$A20&amp;"*",WBS!$C$4:$C$200,L$3)&gt;0,"■","")</f>
        <v/>
      </c>
      <c r="M20" s="15" t="str">
        <f aca="false">IF(COUNTIFS(WBS!$G$4:$G$200,"*"&amp;$A20&amp;"*",WBS!$C$4:$C$200,M$3)&gt;0,"■","")</f>
        <v/>
      </c>
      <c r="N20" s="15" t="str">
        <f aca="false">IF(COUNTIFS(WBS!$G$4:$G$200,"*"&amp;$A20&amp;"*",WBS!$C$4:$C$200,N$3)&gt;0,"■","")</f>
        <v/>
      </c>
      <c r="O20" s="15" t="str">
        <f aca="false">IF(COUNTIFS(WBS!$G$4:$G$200,"*"&amp;$A20&amp;"*",WBS!$C$4:$C$200,O$3)&gt;0,"■","")</f>
        <v/>
      </c>
      <c r="P20" s="15" t="str">
        <f aca="false">IF(COUNTIFS(WBS!$G$4:$G$200,"*"&amp;$A20&amp;"*",WBS!$C$4:$C$200,P$3)&gt;0,"■","")</f>
        <v/>
      </c>
      <c r="Q20" s="15" t="str">
        <f aca="false">IF(COUNTIFS(WBS!$G$4:$G$200,"*"&amp;$A20&amp;"*",WBS!$C$4:$C$200,Q$3)&gt;0,"■","")</f>
        <v/>
      </c>
      <c r="R20" s="15" t="n">
        <f aca="false">COUNTIF(WBS!$G$4:$G$200,"*"&amp;$A20&amp;"*")</f>
        <v>1</v>
      </c>
    </row>
    <row r="21" customFormat="false" ht="15" hidden="false" customHeight="false" outlineLevel="0" collapsed="false">
      <c r="A21" s="15" t="s">
        <v>208</v>
      </c>
      <c r="B21" s="16" t="s">
        <v>209</v>
      </c>
      <c r="C21" s="15" t="str">
        <f aca="false">IF(COUNTIFS(WBS!$G$4:$G$200,"*"&amp;$A21&amp;"*",WBS!$C$4:$C$200,C$3)&gt;0,"■","")</f>
        <v/>
      </c>
      <c r="D21" s="15" t="str">
        <f aca="false">IF(COUNTIFS(WBS!$G$4:$G$200,"*"&amp;$A21&amp;"*",WBS!$C$4:$C$200,D$3)&gt;0,"■","")</f>
        <v/>
      </c>
      <c r="E21" s="15" t="str">
        <f aca="false">IF(COUNTIFS(WBS!$G$4:$G$200,"*"&amp;$A21&amp;"*",WBS!$C$4:$C$200,E$3)&gt;0,"■","")</f>
        <v/>
      </c>
      <c r="F21" s="15" t="str">
        <f aca="false">IF(COUNTIFS(WBS!$G$4:$G$200,"*"&amp;$A21&amp;"*",WBS!$C$4:$C$200,F$3)&gt;0,"■","")</f>
        <v>■</v>
      </c>
      <c r="G21" s="15" t="str">
        <f aca="false">IF(COUNTIFS(WBS!$G$4:$G$200,"*"&amp;$A21&amp;"*",WBS!$C$4:$C$200,G$3)&gt;0,"■","")</f>
        <v/>
      </c>
      <c r="H21" s="15" t="str">
        <f aca="false">IF(COUNTIFS(WBS!$G$4:$G$200,"*"&amp;$A21&amp;"*",WBS!$C$4:$C$200,H$3)&gt;0,"■","")</f>
        <v/>
      </c>
      <c r="I21" s="15" t="str">
        <f aca="false">IF(COUNTIFS(WBS!$G$4:$G$200,"*"&amp;$A21&amp;"*",WBS!$C$4:$C$200,I$3)&gt;0,"■","")</f>
        <v/>
      </c>
      <c r="J21" s="15" t="str">
        <f aca="false">IF(COUNTIFS(WBS!$G$4:$G$200,"*"&amp;$A21&amp;"*",WBS!$C$4:$C$200,J$3)&gt;0,"■","")</f>
        <v/>
      </c>
      <c r="K21" s="15" t="str">
        <f aca="false">IF(COUNTIFS(WBS!$G$4:$G$200,"*"&amp;$A21&amp;"*",WBS!$C$4:$C$200,K$3)&gt;0,"■","")</f>
        <v/>
      </c>
      <c r="L21" s="15" t="str">
        <f aca="false">IF(COUNTIFS(WBS!$G$4:$G$200,"*"&amp;$A21&amp;"*",WBS!$C$4:$C$200,L$3)&gt;0,"■","")</f>
        <v/>
      </c>
      <c r="M21" s="15" t="str">
        <f aca="false">IF(COUNTIFS(WBS!$G$4:$G$200,"*"&amp;$A21&amp;"*",WBS!$C$4:$C$200,M$3)&gt;0,"■","")</f>
        <v/>
      </c>
      <c r="N21" s="15" t="str">
        <f aca="false">IF(COUNTIFS(WBS!$G$4:$G$200,"*"&amp;$A21&amp;"*",WBS!$C$4:$C$200,N$3)&gt;0,"■","")</f>
        <v/>
      </c>
      <c r="O21" s="15" t="str">
        <f aca="false">IF(COUNTIFS(WBS!$G$4:$G$200,"*"&amp;$A21&amp;"*",WBS!$C$4:$C$200,O$3)&gt;0,"■","")</f>
        <v/>
      </c>
      <c r="P21" s="15" t="str">
        <f aca="false">IF(COUNTIFS(WBS!$G$4:$G$200,"*"&amp;$A21&amp;"*",WBS!$C$4:$C$200,P$3)&gt;0,"■","")</f>
        <v/>
      </c>
      <c r="Q21" s="15" t="str">
        <f aca="false">IF(COUNTIFS(WBS!$G$4:$G$200,"*"&amp;$A21&amp;"*",WBS!$C$4:$C$200,Q$3)&gt;0,"■","")</f>
        <v/>
      </c>
      <c r="R21" s="15" t="n">
        <f aca="false">COUNTIF(WBS!$G$4:$G$200,"*"&amp;$A21&amp;"*")</f>
        <v>4</v>
      </c>
    </row>
    <row r="22" customFormat="false" ht="15" hidden="false" customHeight="false" outlineLevel="0" collapsed="false">
      <c r="A22" s="15" t="s">
        <v>216</v>
      </c>
      <c r="B22" s="16" t="s">
        <v>217</v>
      </c>
      <c r="C22" s="15" t="str">
        <f aca="false">IF(COUNTIFS(WBS!$G$4:$G$200,"*"&amp;$A22&amp;"*",WBS!$C$4:$C$200,C$3)&gt;0,"■","")</f>
        <v/>
      </c>
      <c r="D22" s="15" t="str">
        <f aca="false">IF(COUNTIFS(WBS!$G$4:$G$200,"*"&amp;$A22&amp;"*",WBS!$C$4:$C$200,D$3)&gt;0,"■","")</f>
        <v/>
      </c>
      <c r="E22" s="15" t="str">
        <f aca="false">IF(COUNTIFS(WBS!$G$4:$G$200,"*"&amp;$A22&amp;"*",WBS!$C$4:$C$200,E$3)&gt;0,"■","")</f>
        <v/>
      </c>
      <c r="F22" s="15" t="str">
        <f aca="false">IF(COUNTIFS(WBS!$G$4:$G$200,"*"&amp;$A22&amp;"*",WBS!$C$4:$C$200,F$3)&gt;0,"■","")</f>
        <v/>
      </c>
      <c r="G22" s="15" t="str">
        <f aca="false">IF(COUNTIFS(WBS!$G$4:$G$200,"*"&amp;$A22&amp;"*",WBS!$C$4:$C$200,G$3)&gt;0,"■","")</f>
        <v/>
      </c>
      <c r="H22" s="15" t="str">
        <f aca="false">IF(COUNTIFS(WBS!$G$4:$G$200,"*"&amp;$A22&amp;"*",WBS!$C$4:$C$200,H$3)&gt;0,"■","")</f>
        <v>■</v>
      </c>
      <c r="I22" s="15" t="str">
        <f aca="false">IF(COUNTIFS(WBS!$G$4:$G$200,"*"&amp;$A22&amp;"*",WBS!$C$4:$C$200,I$3)&gt;0,"■","")</f>
        <v/>
      </c>
      <c r="J22" s="15" t="str">
        <f aca="false">IF(COUNTIFS(WBS!$G$4:$G$200,"*"&amp;$A22&amp;"*",WBS!$C$4:$C$200,J$3)&gt;0,"■","")</f>
        <v>■</v>
      </c>
      <c r="K22" s="15" t="str">
        <f aca="false">IF(COUNTIFS(WBS!$G$4:$G$200,"*"&amp;$A22&amp;"*",WBS!$C$4:$C$200,K$3)&gt;0,"■","")</f>
        <v/>
      </c>
      <c r="L22" s="15" t="str">
        <f aca="false">IF(COUNTIFS(WBS!$G$4:$G$200,"*"&amp;$A22&amp;"*",WBS!$C$4:$C$200,L$3)&gt;0,"■","")</f>
        <v/>
      </c>
      <c r="M22" s="15" t="str">
        <f aca="false">IF(COUNTIFS(WBS!$G$4:$G$200,"*"&amp;$A22&amp;"*",WBS!$C$4:$C$200,M$3)&gt;0,"■","")</f>
        <v>■</v>
      </c>
      <c r="N22" s="15" t="str">
        <f aca="false">IF(COUNTIFS(WBS!$G$4:$G$200,"*"&amp;$A22&amp;"*",WBS!$C$4:$C$200,N$3)&gt;0,"■","")</f>
        <v>■</v>
      </c>
      <c r="O22" s="15" t="str">
        <f aca="false">IF(COUNTIFS(WBS!$G$4:$G$200,"*"&amp;$A22&amp;"*",WBS!$C$4:$C$200,O$3)&gt;0,"■","")</f>
        <v/>
      </c>
      <c r="P22" s="15" t="str">
        <f aca="false">IF(COUNTIFS(WBS!$G$4:$G$200,"*"&amp;$A22&amp;"*",WBS!$C$4:$C$200,P$3)&gt;0,"■","")</f>
        <v/>
      </c>
      <c r="Q22" s="15" t="str">
        <f aca="false">IF(COUNTIFS(WBS!$G$4:$G$200,"*"&amp;$A22&amp;"*",WBS!$C$4:$C$200,Q$3)&gt;0,"■","")</f>
        <v/>
      </c>
      <c r="R22" s="15" t="n">
        <f aca="false">COUNTIF(WBS!$G$4:$G$200,"*"&amp;$A22&amp;"*")</f>
        <v>7</v>
      </c>
    </row>
    <row r="23" customFormat="false" ht="15" hidden="false" customHeight="false" outlineLevel="0" collapsed="false">
      <c r="A23" s="15" t="s">
        <v>224</v>
      </c>
      <c r="B23" s="16" t="s">
        <v>225</v>
      </c>
      <c r="C23" s="15" t="str">
        <f aca="false">IF(COUNTIFS(WBS!$G$4:$G$200,"*"&amp;$A23&amp;"*",WBS!$C$4:$C$200,C$3)&gt;0,"■","")</f>
        <v/>
      </c>
      <c r="D23" s="15" t="str">
        <f aca="false">IF(COUNTIFS(WBS!$G$4:$G$200,"*"&amp;$A23&amp;"*",WBS!$C$4:$C$200,D$3)&gt;0,"■","")</f>
        <v/>
      </c>
      <c r="E23" s="15" t="str">
        <f aca="false">IF(COUNTIFS(WBS!$G$4:$G$200,"*"&amp;$A23&amp;"*",WBS!$C$4:$C$200,E$3)&gt;0,"■","")</f>
        <v/>
      </c>
      <c r="F23" s="15" t="str">
        <f aca="false">IF(COUNTIFS(WBS!$G$4:$G$200,"*"&amp;$A23&amp;"*",WBS!$C$4:$C$200,F$3)&gt;0,"■","")</f>
        <v/>
      </c>
      <c r="G23" s="15" t="str">
        <f aca="false">IF(COUNTIFS(WBS!$G$4:$G$200,"*"&amp;$A23&amp;"*",WBS!$C$4:$C$200,G$3)&gt;0,"■","")</f>
        <v/>
      </c>
      <c r="H23" s="15" t="str">
        <f aca="false">IF(COUNTIFS(WBS!$G$4:$G$200,"*"&amp;$A23&amp;"*",WBS!$C$4:$C$200,H$3)&gt;0,"■","")</f>
        <v/>
      </c>
      <c r="I23" s="15" t="str">
        <f aca="false">IF(COUNTIFS(WBS!$G$4:$G$200,"*"&amp;$A23&amp;"*",WBS!$C$4:$C$200,I$3)&gt;0,"■","")</f>
        <v/>
      </c>
      <c r="J23" s="15" t="str">
        <f aca="false">IF(COUNTIFS(WBS!$G$4:$G$200,"*"&amp;$A23&amp;"*",WBS!$C$4:$C$200,J$3)&gt;0,"■","")</f>
        <v/>
      </c>
      <c r="K23" s="15" t="str">
        <f aca="false">IF(COUNTIFS(WBS!$G$4:$G$200,"*"&amp;$A23&amp;"*",WBS!$C$4:$C$200,K$3)&gt;0,"■","")</f>
        <v>■</v>
      </c>
      <c r="L23" s="15" t="str">
        <f aca="false">IF(COUNTIFS(WBS!$G$4:$G$200,"*"&amp;$A23&amp;"*",WBS!$C$4:$C$200,L$3)&gt;0,"■","")</f>
        <v>■</v>
      </c>
      <c r="M23" s="15" t="str">
        <f aca="false">IF(COUNTIFS(WBS!$G$4:$G$200,"*"&amp;$A23&amp;"*",WBS!$C$4:$C$200,M$3)&gt;0,"■","")</f>
        <v>■</v>
      </c>
      <c r="N23" s="15" t="str">
        <f aca="false">IF(COUNTIFS(WBS!$G$4:$G$200,"*"&amp;$A23&amp;"*",WBS!$C$4:$C$200,N$3)&gt;0,"■","")</f>
        <v/>
      </c>
      <c r="O23" s="15" t="str">
        <f aca="false">IF(COUNTIFS(WBS!$G$4:$G$200,"*"&amp;$A23&amp;"*",WBS!$C$4:$C$200,O$3)&gt;0,"■","")</f>
        <v/>
      </c>
      <c r="P23" s="15" t="str">
        <f aca="false">IF(COUNTIFS(WBS!$G$4:$G$200,"*"&amp;$A23&amp;"*",WBS!$C$4:$C$200,P$3)&gt;0,"■","")</f>
        <v/>
      </c>
      <c r="Q23" s="15" t="str">
        <f aca="false">IF(COUNTIFS(WBS!$G$4:$G$200,"*"&amp;$A23&amp;"*",WBS!$C$4:$C$200,Q$3)&gt;0,"■","")</f>
        <v/>
      </c>
      <c r="R23" s="15" t="n">
        <f aca="false">COUNTIF(WBS!$G$4:$G$200,"*"&amp;$A23&amp;"*")</f>
        <v>8</v>
      </c>
    </row>
    <row r="24" customFormat="false" ht="15" hidden="false" customHeight="false" outlineLevel="0" collapsed="false">
      <c r="A24" s="15" t="s">
        <v>231</v>
      </c>
      <c r="B24" s="16" t="s">
        <v>232</v>
      </c>
      <c r="C24" s="15" t="str">
        <f aca="false">IF(COUNTIFS(WBS!$G$4:$G$200,"*"&amp;$A24&amp;"*",WBS!$C$4:$C$200,C$3)&gt;0,"■","")</f>
        <v/>
      </c>
      <c r="D24" s="15" t="str">
        <f aca="false">IF(COUNTIFS(WBS!$G$4:$G$200,"*"&amp;$A24&amp;"*",WBS!$C$4:$C$200,D$3)&gt;0,"■","")</f>
        <v/>
      </c>
      <c r="E24" s="15" t="str">
        <f aca="false">IF(COUNTIFS(WBS!$G$4:$G$200,"*"&amp;$A24&amp;"*",WBS!$C$4:$C$200,E$3)&gt;0,"■","")</f>
        <v/>
      </c>
      <c r="F24" s="15" t="str">
        <f aca="false">IF(COUNTIFS(WBS!$G$4:$G$200,"*"&amp;$A24&amp;"*",WBS!$C$4:$C$200,F$3)&gt;0,"■","")</f>
        <v/>
      </c>
      <c r="G24" s="15" t="str">
        <f aca="false">IF(COUNTIFS(WBS!$G$4:$G$200,"*"&amp;$A24&amp;"*",WBS!$C$4:$C$200,G$3)&gt;0,"■","")</f>
        <v/>
      </c>
      <c r="H24" s="15" t="str">
        <f aca="false">IF(COUNTIFS(WBS!$G$4:$G$200,"*"&amp;$A24&amp;"*",WBS!$C$4:$C$200,H$3)&gt;0,"■","")</f>
        <v/>
      </c>
      <c r="I24" s="15" t="str">
        <f aca="false">IF(COUNTIFS(WBS!$G$4:$G$200,"*"&amp;$A24&amp;"*",WBS!$C$4:$C$200,I$3)&gt;0,"■","")</f>
        <v/>
      </c>
      <c r="J24" s="15" t="str">
        <f aca="false">IF(COUNTIFS(WBS!$G$4:$G$200,"*"&amp;$A24&amp;"*",WBS!$C$4:$C$200,J$3)&gt;0,"■","")</f>
        <v/>
      </c>
      <c r="K24" s="15" t="str">
        <f aca="false">IF(COUNTIFS(WBS!$G$4:$G$200,"*"&amp;$A24&amp;"*",WBS!$C$4:$C$200,K$3)&gt;0,"■","")</f>
        <v>■</v>
      </c>
      <c r="L24" s="15" t="str">
        <f aca="false">IF(COUNTIFS(WBS!$G$4:$G$200,"*"&amp;$A24&amp;"*",WBS!$C$4:$C$200,L$3)&gt;0,"■","")</f>
        <v>■</v>
      </c>
      <c r="M24" s="15" t="str">
        <f aca="false">IF(COUNTIFS(WBS!$G$4:$G$200,"*"&amp;$A24&amp;"*",WBS!$C$4:$C$200,M$3)&gt;0,"■","")</f>
        <v/>
      </c>
      <c r="N24" s="15" t="str">
        <f aca="false">IF(COUNTIFS(WBS!$G$4:$G$200,"*"&amp;$A24&amp;"*",WBS!$C$4:$C$200,N$3)&gt;0,"■","")</f>
        <v/>
      </c>
      <c r="O24" s="15" t="str">
        <f aca="false">IF(COUNTIFS(WBS!$G$4:$G$200,"*"&amp;$A24&amp;"*",WBS!$C$4:$C$200,O$3)&gt;0,"■","")</f>
        <v/>
      </c>
      <c r="P24" s="15" t="str">
        <f aca="false">IF(COUNTIFS(WBS!$G$4:$G$200,"*"&amp;$A24&amp;"*",WBS!$C$4:$C$200,P$3)&gt;0,"■","")</f>
        <v/>
      </c>
      <c r="Q24" s="15" t="str">
        <f aca="false">IF(COUNTIFS(WBS!$G$4:$G$200,"*"&amp;$A24&amp;"*",WBS!$C$4:$C$200,Q$3)&gt;0,"■","")</f>
        <v/>
      </c>
      <c r="R24" s="15" t="n">
        <f aca="false">COUNTIF(WBS!$G$4:$G$200,"*"&amp;$A24&amp;"*")</f>
        <v>2</v>
      </c>
    </row>
    <row r="25" customFormat="false" ht="15" hidden="false" customHeight="false" outlineLevel="0" collapsed="false">
      <c r="A25" s="15" t="s">
        <v>238</v>
      </c>
      <c r="B25" s="16" t="s">
        <v>239</v>
      </c>
      <c r="C25" s="15" t="str">
        <f aca="false">IF(COUNTIFS(WBS!$G$4:$G$200,"*"&amp;$A25&amp;"*",WBS!$C$4:$C$200,C$3)&gt;0,"■","")</f>
        <v/>
      </c>
      <c r="D25" s="15" t="str">
        <f aca="false">IF(COUNTIFS(WBS!$G$4:$G$200,"*"&amp;$A25&amp;"*",WBS!$C$4:$C$200,D$3)&gt;0,"■","")</f>
        <v/>
      </c>
      <c r="E25" s="15" t="str">
        <f aca="false">IF(COUNTIFS(WBS!$G$4:$G$200,"*"&amp;$A25&amp;"*",WBS!$C$4:$C$200,E$3)&gt;0,"■","")</f>
        <v/>
      </c>
      <c r="F25" s="15" t="str">
        <f aca="false">IF(COUNTIFS(WBS!$G$4:$G$200,"*"&amp;$A25&amp;"*",WBS!$C$4:$C$200,F$3)&gt;0,"■","")</f>
        <v/>
      </c>
      <c r="G25" s="15" t="str">
        <f aca="false">IF(COUNTIFS(WBS!$G$4:$G$200,"*"&amp;$A25&amp;"*",WBS!$C$4:$C$200,G$3)&gt;0,"■","")</f>
        <v/>
      </c>
      <c r="H25" s="15" t="str">
        <f aca="false">IF(COUNTIFS(WBS!$G$4:$G$200,"*"&amp;$A25&amp;"*",WBS!$C$4:$C$200,H$3)&gt;0,"■","")</f>
        <v/>
      </c>
      <c r="I25" s="15" t="str">
        <f aca="false">IF(COUNTIFS(WBS!$G$4:$G$200,"*"&amp;$A25&amp;"*",WBS!$C$4:$C$200,I$3)&gt;0,"■","")</f>
        <v/>
      </c>
      <c r="J25" s="15" t="str">
        <f aca="false">IF(COUNTIFS(WBS!$G$4:$G$200,"*"&amp;$A25&amp;"*",WBS!$C$4:$C$200,J$3)&gt;0,"■","")</f>
        <v/>
      </c>
      <c r="K25" s="15" t="str">
        <f aca="false">IF(COUNTIFS(WBS!$G$4:$G$200,"*"&amp;$A25&amp;"*",WBS!$C$4:$C$200,K$3)&gt;0,"■","")</f>
        <v/>
      </c>
      <c r="L25" s="15" t="str">
        <f aca="false">IF(COUNTIFS(WBS!$G$4:$G$200,"*"&amp;$A25&amp;"*",WBS!$C$4:$C$200,L$3)&gt;0,"■","")</f>
        <v/>
      </c>
      <c r="M25" s="15" t="str">
        <f aca="false">IF(COUNTIFS(WBS!$G$4:$G$200,"*"&amp;$A25&amp;"*",WBS!$C$4:$C$200,M$3)&gt;0,"■","")</f>
        <v>■</v>
      </c>
      <c r="N25" s="15" t="str">
        <f aca="false">IF(COUNTIFS(WBS!$G$4:$G$200,"*"&amp;$A25&amp;"*",WBS!$C$4:$C$200,N$3)&gt;0,"■","")</f>
        <v/>
      </c>
      <c r="O25" s="15" t="str">
        <f aca="false">IF(COUNTIFS(WBS!$G$4:$G$200,"*"&amp;$A25&amp;"*",WBS!$C$4:$C$200,O$3)&gt;0,"■","")</f>
        <v/>
      </c>
      <c r="P25" s="15" t="str">
        <f aca="false">IF(COUNTIFS(WBS!$G$4:$G$200,"*"&amp;$A25&amp;"*",WBS!$C$4:$C$200,P$3)&gt;0,"■","")</f>
        <v/>
      </c>
      <c r="Q25" s="15" t="str">
        <f aca="false">IF(COUNTIFS(WBS!$G$4:$G$200,"*"&amp;$A25&amp;"*",WBS!$C$4:$C$200,Q$3)&gt;0,"■","")</f>
        <v/>
      </c>
      <c r="R25" s="15" t="n">
        <f aca="false">COUNTIF(WBS!$G$4:$G$200,"*"&amp;$A25&amp;"*")</f>
        <v>5</v>
      </c>
    </row>
    <row r="26" customFormat="false" ht="15" hidden="false" customHeight="false" outlineLevel="0" collapsed="false">
      <c r="A26" s="15" t="s">
        <v>181</v>
      </c>
      <c r="B26" s="16" t="s">
        <v>246</v>
      </c>
      <c r="C26" s="15" t="str">
        <f aca="false">IF(COUNTIFS(WBS!$G$4:$G$200,"*"&amp;$A26&amp;"*",WBS!$C$4:$C$200,C$3)&gt;0,"■","")</f>
        <v/>
      </c>
      <c r="D26" s="15" t="str">
        <f aca="false">IF(COUNTIFS(WBS!$G$4:$G$200,"*"&amp;$A26&amp;"*",WBS!$C$4:$C$200,D$3)&gt;0,"■","")</f>
        <v/>
      </c>
      <c r="E26" s="15" t="str">
        <f aca="false">IF(COUNTIFS(WBS!$G$4:$G$200,"*"&amp;$A26&amp;"*",WBS!$C$4:$C$200,E$3)&gt;0,"■","")</f>
        <v/>
      </c>
      <c r="F26" s="15" t="str">
        <f aca="false">IF(COUNTIFS(WBS!$G$4:$G$200,"*"&amp;$A26&amp;"*",WBS!$C$4:$C$200,F$3)&gt;0,"■","")</f>
        <v>■</v>
      </c>
      <c r="G26" s="15" t="str">
        <f aca="false">IF(COUNTIFS(WBS!$G$4:$G$200,"*"&amp;$A26&amp;"*",WBS!$C$4:$C$200,G$3)&gt;0,"■","")</f>
        <v>■</v>
      </c>
      <c r="H26" s="15" t="str">
        <f aca="false">IF(COUNTIFS(WBS!$G$4:$G$200,"*"&amp;$A26&amp;"*",WBS!$C$4:$C$200,H$3)&gt;0,"■","")</f>
        <v>■</v>
      </c>
      <c r="I26" s="15" t="str">
        <f aca="false">IF(COUNTIFS(WBS!$G$4:$G$200,"*"&amp;$A26&amp;"*",WBS!$C$4:$C$200,I$3)&gt;0,"■","")</f>
        <v/>
      </c>
      <c r="J26" s="15" t="str">
        <f aca="false">IF(COUNTIFS(WBS!$G$4:$G$200,"*"&amp;$A26&amp;"*",WBS!$C$4:$C$200,J$3)&gt;0,"■","")</f>
        <v>■</v>
      </c>
      <c r="K26" s="15" t="str">
        <f aca="false">IF(COUNTIFS(WBS!$G$4:$G$200,"*"&amp;$A26&amp;"*",WBS!$C$4:$C$200,K$3)&gt;0,"■","")</f>
        <v>■</v>
      </c>
      <c r="L26" s="15" t="str">
        <f aca="false">IF(COUNTIFS(WBS!$G$4:$G$200,"*"&amp;$A26&amp;"*",WBS!$C$4:$C$200,L$3)&gt;0,"■","")</f>
        <v>■</v>
      </c>
      <c r="M26" s="15" t="str">
        <f aca="false">IF(COUNTIFS(WBS!$G$4:$G$200,"*"&amp;$A26&amp;"*",WBS!$C$4:$C$200,M$3)&gt;0,"■","")</f>
        <v>■</v>
      </c>
      <c r="N26" s="15" t="str">
        <f aca="false">IF(COUNTIFS(WBS!$G$4:$G$200,"*"&amp;$A26&amp;"*",WBS!$C$4:$C$200,N$3)&gt;0,"■","")</f>
        <v>■</v>
      </c>
      <c r="O26" s="15" t="str">
        <f aca="false">IF(COUNTIFS(WBS!$G$4:$G$200,"*"&amp;$A26&amp;"*",WBS!$C$4:$C$200,O$3)&gt;0,"■","")</f>
        <v>■</v>
      </c>
      <c r="P26" s="15" t="str">
        <f aca="false">IF(COUNTIFS(WBS!$G$4:$G$200,"*"&amp;$A26&amp;"*",WBS!$C$4:$C$200,P$3)&gt;0,"■","")</f>
        <v>■</v>
      </c>
      <c r="Q26" s="15" t="str">
        <f aca="false">IF(COUNTIFS(WBS!$G$4:$G$200,"*"&amp;$A26&amp;"*",WBS!$C$4:$C$200,Q$3)&gt;0,"■","")</f>
        <v>■</v>
      </c>
      <c r="R26" s="15" t="n">
        <f aca="false">COUNTIF(WBS!$G$4:$G$200,"*"&amp;$A26&amp;"*")</f>
        <v>16</v>
      </c>
    </row>
    <row r="27" customFormat="false" ht="15" hidden="false" customHeight="false" outlineLevel="0" collapsed="false">
      <c r="A27" s="15" t="s">
        <v>254</v>
      </c>
      <c r="B27" s="16" t="s">
        <v>255</v>
      </c>
      <c r="C27" s="15" t="str">
        <f aca="false">IF(COUNTIFS(WBS!$G$4:$G$200,"*"&amp;$A27&amp;"*",WBS!$C$4:$C$200,C$3)&gt;0,"■","")</f>
        <v/>
      </c>
      <c r="D27" s="15" t="str">
        <f aca="false">IF(COUNTIFS(WBS!$G$4:$G$200,"*"&amp;$A27&amp;"*",WBS!$C$4:$C$200,D$3)&gt;0,"■","")</f>
        <v/>
      </c>
      <c r="E27" s="15" t="str">
        <f aca="false">IF(COUNTIFS(WBS!$G$4:$G$200,"*"&amp;$A27&amp;"*",WBS!$C$4:$C$200,E$3)&gt;0,"■","")</f>
        <v/>
      </c>
      <c r="F27" s="15" t="str">
        <f aca="false">IF(COUNTIFS(WBS!$G$4:$G$200,"*"&amp;$A27&amp;"*",WBS!$C$4:$C$200,F$3)&gt;0,"■","")</f>
        <v>■</v>
      </c>
      <c r="G27" s="15" t="str">
        <f aca="false">IF(COUNTIFS(WBS!$G$4:$G$200,"*"&amp;$A27&amp;"*",WBS!$C$4:$C$200,G$3)&gt;0,"■","")</f>
        <v/>
      </c>
      <c r="H27" s="15" t="str">
        <f aca="false">IF(COUNTIFS(WBS!$G$4:$G$200,"*"&amp;$A27&amp;"*",WBS!$C$4:$C$200,H$3)&gt;0,"■","")</f>
        <v>■</v>
      </c>
      <c r="I27" s="15" t="str">
        <f aca="false">IF(COUNTIFS(WBS!$G$4:$G$200,"*"&amp;$A27&amp;"*",WBS!$C$4:$C$200,I$3)&gt;0,"■","")</f>
        <v/>
      </c>
      <c r="J27" s="15" t="str">
        <f aca="false">IF(COUNTIFS(WBS!$G$4:$G$200,"*"&amp;$A27&amp;"*",WBS!$C$4:$C$200,J$3)&gt;0,"■","")</f>
        <v>■</v>
      </c>
      <c r="K27" s="15" t="str">
        <f aca="false">IF(COUNTIFS(WBS!$G$4:$G$200,"*"&amp;$A27&amp;"*",WBS!$C$4:$C$200,K$3)&gt;0,"■","")</f>
        <v/>
      </c>
      <c r="L27" s="15" t="str">
        <f aca="false">IF(COUNTIFS(WBS!$G$4:$G$200,"*"&amp;$A27&amp;"*",WBS!$C$4:$C$200,L$3)&gt;0,"■","")</f>
        <v/>
      </c>
      <c r="M27" s="15" t="str">
        <f aca="false">IF(COUNTIFS(WBS!$G$4:$G$200,"*"&amp;$A27&amp;"*",WBS!$C$4:$C$200,M$3)&gt;0,"■","")</f>
        <v/>
      </c>
      <c r="N27" s="15" t="str">
        <f aca="false">IF(COUNTIFS(WBS!$G$4:$G$200,"*"&amp;$A27&amp;"*",WBS!$C$4:$C$200,N$3)&gt;0,"■","")</f>
        <v/>
      </c>
      <c r="O27" s="15" t="str">
        <f aca="false">IF(COUNTIFS(WBS!$G$4:$G$200,"*"&amp;$A27&amp;"*",WBS!$C$4:$C$200,O$3)&gt;0,"■","")</f>
        <v>■</v>
      </c>
      <c r="P27" s="15" t="str">
        <f aca="false">IF(COUNTIFS(WBS!$G$4:$G$200,"*"&amp;$A27&amp;"*",WBS!$C$4:$C$200,P$3)&gt;0,"■","")</f>
        <v/>
      </c>
      <c r="Q27" s="15" t="str">
        <f aca="false">IF(COUNTIFS(WBS!$G$4:$G$200,"*"&amp;$A27&amp;"*",WBS!$C$4:$C$200,Q$3)&gt;0,"■","")</f>
        <v/>
      </c>
      <c r="R27" s="15" t="n">
        <f aca="false">COUNTIF(WBS!$G$4:$G$200,"*"&amp;$A27&amp;"*")</f>
        <v>4</v>
      </c>
    </row>
    <row r="29" customFormat="false" ht="15" hidden="false" customHeight="false" outlineLevel="0" collapsed="false">
      <c r="A29" s="3" t="s">
        <v>1125</v>
      </c>
    </row>
    <row r="30" customFormat="false" ht="15" hidden="false" customHeight="false" outlineLevel="0" collapsed="false">
      <c r="A30" s="5" t="s">
        <v>267</v>
      </c>
      <c r="B30" s="5" t="s">
        <v>1126</v>
      </c>
      <c r="D30" s="5" t="s">
        <v>64</v>
      </c>
      <c r="F30" s="5" t="s">
        <v>1127</v>
      </c>
    </row>
    <row r="31" customFormat="false" ht="15" hidden="false" customHeight="false" outlineLevel="0" collapsed="false">
      <c r="A31" s="26" t="s">
        <v>283</v>
      </c>
      <c r="B31" s="26" t="s">
        <v>1128</v>
      </c>
      <c r="D31" s="26" t="s">
        <v>109</v>
      </c>
      <c r="F31" s="26" t="s">
        <v>68</v>
      </c>
    </row>
    <row r="32" customFormat="false" ht="15" hidden="false" customHeight="false" outlineLevel="0" collapsed="false">
      <c r="A32" s="26" t="s">
        <v>100</v>
      </c>
      <c r="B32" s="26" t="s">
        <v>1129</v>
      </c>
      <c r="D32" s="26" t="s">
        <v>90</v>
      </c>
      <c r="F32" s="26" t="s">
        <v>1130</v>
      </c>
    </row>
    <row r="33" customFormat="false" ht="15" hidden="false" customHeight="false" outlineLevel="0" collapsed="false">
      <c r="A33" s="26" t="s">
        <v>207</v>
      </c>
      <c r="B33" s="26" t="s">
        <v>1131</v>
      </c>
      <c r="D33" s="26" t="s">
        <v>90</v>
      </c>
      <c r="F33" s="26" t="s">
        <v>1132</v>
      </c>
    </row>
    <row r="34" customFormat="false" ht="15" hidden="false" customHeight="false" outlineLevel="0" collapsed="false">
      <c r="A34" s="26" t="s">
        <v>215</v>
      </c>
      <c r="B34" s="26" t="s">
        <v>1133</v>
      </c>
      <c r="D34" s="26" t="s">
        <v>1134</v>
      </c>
      <c r="F34" s="26" t="s">
        <v>1135</v>
      </c>
    </row>
    <row r="35" customFormat="false" ht="15" hidden="false" customHeight="false" outlineLevel="0" collapsed="false">
      <c r="A35" s="26" t="s">
        <v>448</v>
      </c>
      <c r="B35" s="26" t="s">
        <v>1136</v>
      </c>
      <c r="D35" s="26" t="s">
        <v>347</v>
      </c>
      <c r="F35" s="26" t="s">
        <v>1137</v>
      </c>
    </row>
    <row r="36" customFormat="false" ht="15" hidden="false" customHeight="false" outlineLevel="0" collapsed="false">
      <c r="A36" s="26" t="s">
        <v>191</v>
      </c>
      <c r="B36" s="26" t="s">
        <v>1138</v>
      </c>
      <c r="D36" s="26" t="s">
        <v>347</v>
      </c>
      <c r="F36" s="26" t="s">
        <v>1139</v>
      </c>
    </row>
    <row r="37" customFormat="false" ht="15" hidden="false" customHeight="false" outlineLevel="0" collapsed="false">
      <c r="A37" s="26" t="s">
        <v>199</v>
      </c>
      <c r="B37" s="26" t="s">
        <v>1140</v>
      </c>
      <c r="D37" s="26" t="s">
        <v>347</v>
      </c>
      <c r="F37" s="26" t="s">
        <v>1141</v>
      </c>
    </row>
    <row r="38" customFormat="false" ht="15" hidden="false" customHeight="false" outlineLevel="0" collapsed="false">
      <c r="A38" s="26" t="s">
        <v>707</v>
      </c>
      <c r="B38" s="26" t="s">
        <v>1142</v>
      </c>
      <c r="D38" s="26" t="s">
        <v>347</v>
      </c>
      <c r="F38" s="26" t="s">
        <v>1143</v>
      </c>
    </row>
    <row r="39" customFormat="false" ht="15" hidden="false" customHeight="false" outlineLevel="0" collapsed="false">
      <c r="A39" s="26" t="s">
        <v>755</v>
      </c>
      <c r="B39" s="26" t="s">
        <v>1144</v>
      </c>
      <c r="D39" s="26" t="s">
        <v>347</v>
      </c>
      <c r="F39" s="26" t="s">
        <v>1145</v>
      </c>
    </row>
    <row r="40" customFormat="false" ht="15" hidden="false" customHeight="false" outlineLevel="0" collapsed="false">
      <c r="A40" s="26" t="s">
        <v>802</v>
      </c>
      <c r="B40" s="26" t="s">
        <v>1146</v>
      </c>
      <c r="D40" s="26" t="s">
        <v>347</v>
      </c>
      <c r="F40" s="26" t="s">
        <v>1147</v>
      </c>
    </row>
    <row r="41" customFormat="false" ht="15" hidden="false" customHeight="false" outlineLevel="0" collapsed="false">
      <c r="A41" s="26" t="s">
        <v>245</v>
      </c>
      <c r="B41" s="26" t="s">
        <v>1148</v>
      </c>
      <c r="D41" s="26" t="s">
        <v>347</v>
      </c>
      <c r="F41" s="26" t="s">
        <v>1149</v>
      </c>
    </row>
    <row r="42" customFormat="false" ht="15" hidden="false" customHeight="false" outlineLevel="0" collapsed="false">
      <c r="A42" s="26" t="s">
        <v>867</v>
      </c>
      <c r="B42" s="26" t="s">
        <v>1150</v>
      </c>
      <c r="D42" s="26" t="s">
        <v>347</v>
      </c>
      <c r="F42" s="26" t="s">
        <v>1151</v>
      </c>
    </row>
    <row r="43" customFormat="false" ht="15" hidden="false" customHeight="false" outlineLevel="0" collapsed="false">
      <c r="A43" s="26" t="s">
        <v>951</v>
      </c>
      <c r="B43" s="26" t="s">
        <v>1152</v>
      </c>
      <c r="D43" s="26" t="s">
        <v>347</v>
      </c>
      <c r="F43" s="26" t="s">
        <v>1153</v>
      </c>
    </row>
    <row r="44" customFormat="false" ht="15" hidden="false" customHeight="false" outlineLevel="0" collapsed="false">
      <c r="A44" s="26" t="s">
        <v>1002</v>
      </c>
      <c r="B44" s="26" t="s">
        <v>1154</v>
      </c>
      <c r="D44" s="26" t="s">
        <v>347</v>
      </c>
      <c r="F44" s="26" t="s">
        <v>1155</v>
      </c>
    </row>
    <row r="45" customFormat="false" ht="15" hidden="false" customHeight="false" outlineLevel="0" collapsed="false">
      <c r="A45" s="26" t="s">
        <v>1055</v>
      </c>
      <c r="B45" s="26" t="s">
        <v>1156</v>
      </c>
      <c r="D45" s="26" t="s">
        <v>347</v>
      </c>
      <c r="F45" s="26" t="s">
        <v>1157</v>
      </c>
    </row>
  </sheetData>
  <conditionalFormatting sqref="C4:Q27">
    <cfRule type="cellIs" priority="2" operator="equal" aboveAverage="0" equalAverage="0" bottom="0" percent="0" rank="0" text="" dxfId="14">
      <formula>"■"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B45"/>
    <pageSetUpPr fitToPage="true"/>
  </sheetPr>
  <dimension ref="A1:Y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4" min="2" style="0" width="7"/>
    <col collapsed="false" customWidth="true" hidden="false" outlineLevel="0" max="25" min="25" style="0" width="10"/>
  </cols>
  <sheetData>
    <row r="1" customFormat="false" ht="17.35" hidden="false" customHeight="false" outlineLevel="0" collapsed="false">
      <c r="A1" s="13" t="s">
        <v>42</v>
      </c>
    </row>
    <row r="2" customFormat="false" ht="15" hidden="false" customHeight="false" outlineLevel="0" collapsed="false">
      <c r="A2" s="2" t="s">
        <v>1158</v>
      </c>
    </row>
    <row r="3" customFormat="false" ht="31.5" hidden="false" customHeight="true" outlineLevel="0" collapsed="false">
      <c r="A3" s="14" t="s">
        <v>1159</v>
      </c>
      <c r="B3" s="14" t="s">
        <v>68</v>
      </c>
      <c r="C3" s="14" t="s">
        <v>80</v>
      </c>
      <c r="D3" s="14" t="s">
        <v>91</v>
      </c>
      <c r="E3" s="14" t="s">
        <v>101</v>
      </c>
      <c r="F3" s="14" t="s">
        <v>110</v>
      </c>
      <c r="G3" s="14" t="s">
        <v>117</v>
      </c>
      <c r="H3" s="14" t="s">
        <v>124</v>
      </c>
      <c r="I3" s="14" t="s">
        <v>132</v>
      </c>
      <c r="J3" s="14" t="s">
        <v>140</v>
      </c>
      <c r="K3" s="14" t="s">
        <v>146</v>
      </c>
      <c r="L3" s="14" t="s">
        <v>152</v>
      </c>
      <c r="M3" s="14" t="s">
        <v>158</v>
      </c>
      <c r="N3" s="14" t="s">
        <v>164</v>
      </c>
      <c r="O3" s="14" t="s">
        <v>174</v>
      </c>
      <c r="P3" s="14" t="s">
        <v>183</v>
      </c>
      <c r="Q3" s="14" t="s">
        <v>192</v>
      </c>
      <c r="R3" s="14" t="s">
        <v>208</v>
      </c>
      <c r="S3" s="14" t="s">
        <v>216</v>
      </c>
      <c r="T3" s="14" t="s">
        <v>224</v>
      </c>
      <c r="U3" s="14" t="s">
        <v>231</v>
      </c>
      <c r="V3" s="14" t="s">
        <v>238</v>
      </c>
      <c r="W3" s="14" t="s">
        <v>181</v>
      </c>
      <c r="X3" s="14" t="s">
        <v>254</v>
      </c>
      <c r="Y3" s="27" t="s">
        <v>1160</v>
      </c>
    </row>
    <row r="4" customFormat="false" ht="15" hidden="false" customHeight="false" outlineLevel="0" collapsed="false">
      <c r="A4" s="16" t="s">
        <v>1161</v>
      </c>
      <c r="B4" s="15" t="s">
        <v>1162</v>
      </c>
      <c r="C4" s="15"/>
      <c r="D4" s="15"/>
      <c r="E4" s="15"/>
      <c r="F4" s="15"/>
      <c r="G4" s="15" t="s">
        <v>1163</v>
      </c>
      <c r="H4" s="15"/>
      <c r="I4" s="15"/>
      <c r="J4" s="15"/>
      <c r="K4" s="15"/>
      <c r="L4" s="15"/>
      <c r="M4" s="15"/>
      <c r="N4" s="15"/>
      <c r="O4" s="15" t="s">
        <v>1163</v>
      </c>
      <c r="P4" s="15"/>
      <c r="Q4" s="15"/>
      <c r="R4" s="15"/>
      <c r="S4" s="15"/>
      <c r="T4" s="15"/>
      <c r="U4" s="15"/>
      <c r="V4" s="15"/>
      <c r="W4" s="15" t="s">
        <v>1164</v>
      </c>
      <c r="X4" s="15"/>
      <c r="Y4" s="15" t="n">
        <f aca="false">COUNTIF(B4:X4,"A")</f>
        <v>1</v>
      </c>
    </row>
    <row r="5" customFormat="false" ht="15" hidden="false" customHeight="false" outlineLevel="0" collapsed="false">
      <c r="A5" s="16" t="s">
        <v>1165</v>
      </c>
      <c r="B5" s="15" t="s">
        <v>1162</v>
      </c>
      <c r="C5" s="15"/>
      <c r="D5" s="15"/>
      <c r="E5" s="15"/>
      <c r="F5" s="15"/>
      <c r="G5" s="15" t="s">
        <v>1163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 t="s">
        <v>1164</v>
      </c>
      <c r="X5" s="15"/>
      <c r="Y5" s="15" t="n">
        <f aca="false">COUNTIF(B5:X5,"A")</f>
        <v>1</v>
      </c>
    </row>
    <row r="6" customFormat="false" ht="15" hidden="false" customHeight="false" outlineLevel="0" collapsed="false">
      <c r="A6" s="16" t="s">
        <v>1166</v>
      </c>
      <c r="B6" s="15" t="s">
        <v>1164</v>
      </c>
      <c r="C6" s="15" t="s">
        <v>1162</v>
      </c>
      <c r="D6" s="15"/>
      <c r="E6" s="15"/>
      <c r="F6" s="15"/>
      <c r="G6" s="15"/>
      <c r="H6" s="15"/>
      <c r="I6" s="15" t="s">
        <v>1167</v>
      </c>
      <c r="J6" s="15" t="s">
        <v>1167</v>
      </c>
      <c r="K6" s="15" t="s">
        <v>1167</v>
      </c>
      <c r="L6" s="15"/>
      <c r="M6" s="15"/>
      <c r="N6" s="15"/>
      <c r="O6" s="15" t="s">
        <v>1163</v>
      </c>
      <c r="P6" s="15"/>
      <c r="Q6" s="15"/>
      <c r="R6" s="15"/>
      <c r="S6" s="15"/>
      <c r="T6" s="15"/>
      <c r="U6" s="15"/>
      <c r="V6" s="15"/>
      <c r="W6" s="15"/>
      <c r="X6" s="15"/>
      <c r="Y6" s="15" t="n">
        <f aca="false">COUNTIF(B6:X6,"A")</f>
        <v>1</v>
      </c>
    </row>
    <row r="7" customFormat="false" ht="15" hidden="false" customHeight="false" outlineLevel="0" collapsed="false">
      <c r="A7" s="16" t="s">
        <v>1168</v>
      </c>
      <c r="B7" s="15" t="s">
        <v>1164</v>
      </c>
      <c r="C7" s="15"/>
      <c r="D7" s="15" t="s">
        <v>1162</v>
      </c>
      <c r="E7" s="15"/>
      <c r="F7" s="15"/>
      <c r="G7" s="15"/>
      <c r="H7" s="15"/>
      <c r="I7" s="15"/>
      <c r="J7" s="15"/>
      <c r="K7" s="15" t="s">
        <v>1167</v>
      </c>
      <c r="L7" s="15"/>
      <c r="M7" s="15"/>
      <c r="N7" s="15"/>
      <c r="O7" s="15" t="s">
        <v>1163</v>
      </c>
      <c r="P7" s="15"/>
      <c r="Q7" s="15"/>
      <c r="R7" s="15"/>
      <c r="S7" s="15"/>
      <c r="T7" s="15"/>
      <c r="U7" s="15"/>
      <c r="V7" s="15"/>
      <c r="W7" s="15"/>
      <c r="X7" s="15"/>
      <c r="Y7" s="15" t="n">
        <f aca="false">COUNTIF(B7:X7,"A")</f>
        <v>1</v>
      </c>
    </row>
    <row r="8" customFormat="false" ht="15" hidden="false" customHeight="false" outlineLevel="0" collapsed="false">
      <c r="A8" s="16" t="s">
        <v>1169</v>
      </c>
      <c r="B8" s="15" t="s">
        <v>1164</v>
      </c>
      <c r="C8" s="15"/>
      <c r="D8" s="15"/>
      <c r="E8" s="15" t="s">
        <v>1162</v>
      </c>
      <c r="F8" s="15"/>
      <c r="G8" s="15"/>
      <c r="H8" s="15" t="s">
        <v>1163</v>
      </c>
      <c r="I8" s="15"/>
      <c r="J8" s="15"/>
      <c r="K8" s="15"/>
      <c r="L8" s="15"/>
      <c r="M8" s="15"/>
      <c r="N8" s="15"/>
      <c r="O8" s="15" t="s">
        <v>1163</v>
      </c>
      <c r="P8" s="15"/>
      <c r="Q8" s="15"/>
      <c r="R8" s="15"/>
      <c r="S8" s="15"/>
      <c r="T8" s="15"/>
      <c r="U8" s="15"/>
      <c r="V8" s="15"/>
      <c r="W8" s="15"/>
      <c r="X8" s="15" t="s">
        <v>1167</v>
      </c>
      <c r="Y8" s="15" t="n">
        <f aca="false">COUNTIF(B8:X8,"A")</f>
        <v>1</v>
      </c>
    </row>
    <row r="9" customFormat="false" ht="15" hidden="false" customHeight="false" outlineLevel="0" collapsed="false">
      <c r="A9" s="16" t="s">
        <v>1170</v>
      </c>
      <c r="B9" s="15" t="s">
        <v>1164</v>
      </c>
      <c r="C9" s="15"/>
      <c r="D9" s="15"/>
      <c r="E9" s="15"/>
      <c r="F9" s="15"/>
      <c r="G9" s="15"/>
      <c r="H9" s="15"/>
      <c r="I9" s="15" t="s">
        <v>1162</v>
      </c>
      <c r="J9" s="15" t="s">
        <v>1163</v>
      </c>
      <c r="K9" s="15"/>
      <c r="L9" s="15"/>
      <c r="M9" s="15"/>
      <c r="N9" s="15"/>
      <c r="O9" s="15" t="s">
        <v>1163</v>
      </c>
      <c r="P9" s="15"/>
      <c r="Q9" s="15"/>
      <c r="R9" s="15"/>
      <c r="S9" s="15"/>
      <c r="T9" s="15"/>
      <c r="U9" s="15"/>
      <c r="V9" s="15"/>
      <c r="W9" s="15"/>
      <c r="X9" s="15"/>
      <c r="Y9" s="15" t="n">
        <f aca="false">COUNTIF(B9:X9,"A")</f>
        <v>1</v>
      </c>
    </row>
    <row r="10" customFormat="false" ht="15" hidden="false" customHeight="false" outlineLevel="0" collapsed="false">
      <c r="A10" s="16" t="s">
        <v>1171</v>
      </c>
      <c r="B10" s="15" t="s">
        <v>1164</v>
      </c>
      <c r="C10" s="15"/>
      <c r="D10" s="15"/>
      <c r="E10" s="15"/>
      <c r="F10" s="15"/>
      <c r="G10" s="15"/>
      <c r="H10" s="15"/>
      <c r="I10" s="15" t="s">
        <v>1163</v>
      </c>
      <c r="J10" s="15" t="s">
        <v>1162</v>
      </c>
      <c r="K10" s="15"/>
      <c r="L10" s="15"/>
      <c r="M10" s="15"/>
      <c r="N10" s="15"/>
      <c r="O10" s="15" t="s">
        <v>1163</v>
      </c>
      <c r="P10" s="15"/>
      <c r="Q10" s="15"/>
      <c r="R10" s="15"/>
      <c r="S10" s="15"/>
      <c r="T10" s="15"/>
      <c r="U10" s="15"/>
      <c r="V10" s="15"/>
      <c r="W10" s="15" t="s">
        <v>1167</v>
      </c>
      <c r="X10" s="15"/>
      <c r="Y10" s="15" t="n">
        <f aca="false">COUNTIF(B10:X10,"A")</f>
        <v>1</v>
      </c>
    </row>
    <row r="11" customFormat="false" ht="23.85" hidden="false" customHeight="false" outlineLevel="0" collapsed="false">
      <c r="A11" s="16" t="s">
        <v>1172</v>
      </c>
      <c r="B11" s="15" t="s">
        <v>1164</v>
      </c>
      <c r="C11" s="15"/>
      <c r="D11" s="15" t="s">
        <v>1163</v>
      </c>
      <c r="E11" s="15"/>
      <c r="F11" s="15"/>
      <c r="G11" s="15"/>
      <c r="H11" s="15"/>
      <c r="I11" s="15"/>
      <c r="J11" s="15"/>
      <c r="K11" s="15" t="s">
        <v>1162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 t="n">
        <f aca="false">COUNTIF(B11:X11,"A")</f>
        <v>1</v>
      </c>
    </row>
    <row r="12" customFormat="false" ht="15" hidden="false" customHeight="false" outlineLevel="0" collapsed="false">
      <c r="A12" s="16" t="s">
        <v>1173</v>
      </c>
      <c r="B12" s="15" t="s">
        <v>1164</v>
      </c>
      <c r="C12" s="15"/>
      <c r="D12" s="15"/>
      <c r="E12" s="15"/>
      <c r="F12" s="15" t="s">
        <v>1162</v>
      </c>
      <c r="G12" s="15"/>
      <c r="H12" s="15"/>
      <c r="I12" s="15"/>
      <c r="J12" s="15"/>
      <c r="K12" s="15"/>
      <c r="L12" s="15" t="s">
        <v>1167</v>
      </c>
      <c r="M12" s="15" t="s">
        <v>1167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 t="n">
        <f aca="false">COUNTIF(B12:X12,"A")</f>
        <v>1</v>
      </c>
    </row>
    <row r="13" customFormat="false" ht="15" hidden="false" customHeight="false" outlineLevel="0" collapsed="false">
      <c r="A13" s="16" t="s">
        <v>1174</v>
      </c>
      <c r="B13" s="15" t="s">
        <v>1164</v>
      </c>
      <c r="C13" s="15"/>
      <c r="D13" s="15"/>
      <c r="E13" s="15"/>
      <c r="F13" s="15" t="s">
        <v>1163</v>
      </c>
      <c r="G13" s="15"/>
      <c r="H13" s="15"/>
      <c r="I13" s="15"/>
      <c r="J13" s="15"/>
      <c r="K13" s="15"/>
      <c r="L13" s="15" t="s">
        <v>1162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 t="s">
        <v>1163</v>
      </c>
      <c r="X13" s="15"/>
      <c r="Y13" s="15" t="n">
        <f aca="false">COUNTIF(B13:X13,"A")</f>
        <v>1</v>
      </c>
    </row>
    <row r="14" customFormat="false" ht="15" hidden="false" customHeight="false" outlineLevel="0" collapsed="false">
      <c r="A14" s="16" t="s">
        <v>1175</v>
      </c>
      <c r="B14" s="15" t="s">
        <v>1164</v>
      </c>
      <c r="C14" s="15"/>
      <c r="D14" s="15"/>
      <c r="E14" s="15"/>
      <c r="F14" s="15" t="s">
        <v>1163</v>
      </c>
      <c r="G14" s="15"/>
      <c r="H14" s="15"/>
      <c r="I14" s="15"/>
      <c r="J14" s="15"/>
      <c r="K14" s="15"/>
      <c r="L14" s="15"/>
      <c r="M14" s="15" t="s">
        <v>1162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 t="n">
        <f aca="false">COUNTIF(B14:X14,"A")</f>
        <v>1</v>
      </c>
    </row>
    <row r="15" customFormat="false" ht="15" hidden="false" customHeight="false" outlineLevel="0" collapsed="false">
      <c r="A15" s="16" t="s">
        <v>383</v>
      </c>
      <c r="B15" s="15" t="s">
        <v>1164</v>
      </c>
      <c r="C15" s="15"/>
      <c r="D15" s="15"/>
      <c r="E15" s="15"/>
      <c r="F15" s="15"/>
      <c r="G15" s="15"/>
      <c r="H15" s="15" t="s">
        <v>1162</v>
      </c>
      <c r="I15" s="15"/>
      <c r="J15" s="15"/>
      <c r="K15" s="15"/>
      <c r="L15" s="15"/>
      <c r="M15" s="15"/>
      <c r="N15" s="15"/>
      <c r="O15" s="15" t="s">
        <v>1163</v>
      </c>
      <c r="P15" s="15"/>
      <c r="Q15" s="15"/>
      <c r="R15" s="15"/>
      <c r="S15" s="15"/>
      <c r="T15" s="15"/>
      <c r="U15" s="15"/>
      <c r="V15" s="15"/>
      <c r="W15" s="15"/>
      <c r="X15" s="15" t="s">
        <v>1163</v>
      </c>
      <c r="Y15" s="15" t="n">
        <f aca="false">COUNTIF(B15:X15,"A")</f>
        <v>1</v>
      </c>
    </row>
    <row r="16" customFormat="false" ht="15" hidden="false" customHeight="false" outlineLevel="0" collapsed="false">
      <c r="A16" s="16" t="s">
        <v>1176</v>
      </c>
      <c r="B16" s="15" t="s">
        <v>1164</v>
      </c>
      <c r="C16" s="15"/>
      <c r="D16" s="15"/>
      <c r="E16" s="15"/>
      <c r="F16" s="15"/>
      <c r="G16" s="15" t="s">
        <v>1162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 t="s">
        <v>1163</v>
      </c>
      <c r="X16" s="15"/>
      <c r="Y16" s="15" t="n">
        <f aca="false">COUNTIF(B16:X16,"A")</f>
        <v>1</v>
      </c>
    </row>
    <row r="17" customFormat="false" ht="15" hidden="false" customHeight="false" outlineLevel="0" collapsed="false">
      <c r="A17" s="16" t="s">
        <v>1177</v>
      </c>
      <c r="B17" s="15" t="s">
        <v>1164</v>
      </c>
      <c r="C17" s="15"/>
      <c r="D17" s="15"/>
      <c r="E17" s="15"/>
      <c r="F17" s="15"/>
      <c r="G17" s="15"/>
      <c r="H17" s="15"/>
      <c r="I17" s="15" t="s">
        <v>1163</v>
      </c>
      <c r="J17" s="15" t="s">
        <v>1163</v>
      </c>
      <c r="K17" s="15" t="s">
        <v>1163</v>
      </c>
      <c r="L17" s="15" t="s">
        <v>1163</v>
      </c>
      <c r="M17" s="15" t="s">
        <v>1163</v>
      </c>
      <c r="N17" s="15" t="s">
        <v>1162</v>
      </c>
      <c r="O17" s="15"/>
      <c r="P17" s="15"/>
      <c r="Q17" s="15"/>
      <c r="R17" s="15"/>
      <c r="S17" s="15"/>
      <c r="T17" s="15"/>
      <c r="U17" s="15"/>
      <c r="V17" s="15"/>
      <c r="W17" s="15" t="s">
        <v>1167</v>
      </c>
      <c r="X17" s="15"/>
      <c r="Y17" s="15" t="n">
        <f aca="false">COUNTIF(B17:X17,"A")</f>
        <v>1</v>
      </c>
    </row>
    <row r="18" customFormat="false" ht="15" hidden="false" customHeight="false" outlineLevel="0" collapsed="false">
      <c r="A18" s="16" t="s">
        <v>1178</v>
      </c>
      <c r="B18" s="15" t="s">
        <v>1163</v>
      </c>
      <c r="C18" s="15"/>
      <c r="D18" s="15"/>
      <c r="E18" s="15" t="s">
        <v>1163</v>
      </c>
      <c r="F18" s="15"/>
      <c r="G18" s="15"/>
      <c r="H18" s="15"/>
      <c r="I18" s="15" t="s">
        <v>1163</v>
      </c>
      <c r="J18" s="15"/>
      <c r="K18" s="15"/>
      <c r="L18" s="15"/>
      <c r="M18" s="15"/>
      <c r="N18" s="15"/>
      <c r="O18" s="15" t="s">
        <v>1162</v>
      </c>
      <c r="P18" s="15"/>
      <c r="Q18" s="15"/>
      <c r="R18" s="15"/>
      <c r="S18" s="15"/>
      <c r="T18" s="15"/>
      <c r="U18" s="15"/>
      <c r="V18" s="15"/>
      <c r="W18" s="15" t="s">
        <v>1164</v>
      </c>
      <c r="X18" s="15"/>
      <c r="Y18" s="15" t="n">
        <f aca="false">COUNTIF(B18:X18,"A")</f>
        <v>1</v>
      </c>
    </row>
    <row r="19" customFormat="false" ht="15" hidden="false" customHeight="false" outlineLevel="0" collapsed="false">
      <c r="A19" s="16" t="s">
        <v>1179</v>
      </c>
      <c r="B19" s="15" t="s">
        <v>1167</v>
      </c>
      <c r="C19" s="15"/>
      <c r="D19" s="15"/>
      <c r="E19" s="15"/>
      <c r="F19" s="15"/>
      <c r="G19" s="15"/>
      <c r="H19" s="15"/>
      <c r="I19" s="15" t="s">
        <v>1163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 t="s">
        <v>1164</v>
      </c>
      <c r="X19" s="15" t="s">
        <v>1162</v>
      </c>
      <c r="Y19" s="15" t="n">
        <f aca="false">COUNTIF(B19:X19,"A")</f>
        <v>1</v>
      </c>
    </row>
    <row r="20" customFormat="false" ht="15" hidden="false" customHeight="false" outlineLevel="0" collapsed="false">
      <c r="A20" s="16" t="s">
        <v>1180</v>
      </c>
      <c r="B20" s="15"/>
      <c r="C20" s="15"/>
      <c r="D20" s="15"/>
      <c r="E20" s="15"/>
      <c r="F20" s="15"/>
      <c r="G20" s="15"/>
      <c r="H20" s="15" t="s">
        <v>1163</v>
      </c>
      <c r="I20" s="15"/>
      <c r="J20" s="15"/>
      <c r="K20" s="15"/>
      <c r="L20" s="15"/>
      <c r="M20" s="15"/>
      <c r="N20" s="15"/>
      <c r="O20" s="15" t="s">
        <v>1163</v>
      </c>
      <c r="P20" s="15" t="s">
        <v>1162</v>
      </c>
      <c r="Q20" s="15"/>
      <c r="R20" s="15"/>
      <c r="S20" s="15"/>
      <c r="T20" s="15"/>
      <c r="U20" s="15"/>
      <c r="V20" s="15"/>
      <c r="W20" s="15" t="s">
        <v>1164</v>
      </c>
      <c r="X20" s="15" t="s">
        <v>1162</v>
      </c>
      <c r="Y20" s="15" t="n">
        <f aca="false">COUNTIF(B20:X20,"A")</f>
        <v>1</v>
      </c>
    </row>
    <row r="21" customFormat="false" ht="15" hidden="false" customHeight="false" outlineLevel="0" collapsed="false">
      <c r="A21" s="16" t="s">
        <v>1181</v>
      </c>
      <c r="B21" s="15" t="s">
        <v>1163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 t="s">
        <v>1163</v>
      </c>
      <c r="P21" s="15"/>
      <c r="Q21" s="15" t="s">
        <v>1162</v>
      </c>
      <c r="R21" s="15"/>
      <c r="S21" s="15"/>
      <c r="T21" s="15"/>
      <c r="U21" s="15"/>
      <c r="V21" s="15"/>
      <c r="W21" s="15" t="s">
        <v>1164</v>
      </c>
      <c r="X21" s="15"/>
      <c r="Y21" s="15" t="n">
        <f aca="false">COUNTIF(B21:X21,"A")</f>
        <v>1</v>
      </c>
    </row>
    <row r="22" customFormat="false" ht="15" hidden="false" customHeight="false" outlineLevel="0" collapsed="false">
      <c r="A22" s="16" t="s">
        <v>1182</v>
      </c>
      <c r="B22" s="15" t="s">
        <v>1164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 t="s">
        <v>1163</v>
      </c>
      <c r="P22" s="15"/>
      <c r="Q22" s="15"/>
      <c r="R22" s="15"/>
      <c r="S22" s="15" t="s">
        <v>1162</v>
      </c>
      <c r="T22" s="15"/>
      <c r="U22" s="15"/>
      <c r="V22" s="15"/>
      <c r="W22" s="15" t="s">
        <v>1167</v>
      </c>
      <c r="X22" s="15" t="s">
        <v>1163</v>
      </c>
      <c r="Y22" s="15" t="n">
        <f aca="false">COUNTIF(B22:X22,"A")</f>
        <v>1</v>
      </c>
    </row>
    <row r="23" customFormat="false" ht="15" hidden="false" customHeight="false" outlineLevel="0" collapsed="false">
      <c r="A23" s="16" t="s">
        <v>1183</v>
      </c>
      <c r="B23" s="15" t="s">
        <v>1164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 t="s">
        <v>1163</v>
      </c>
      <c r="P23" s="15"/>
      <c r="Q23" s="15"/>
      <c r="R23" s="15"/>
      <c r="S23" s="15"/>
      <c r="T23" s="15" t="s">
        <v>1162</v>
      </c>
      <c r="U23" s="15" t="s">
        <v>1162</v>
      </c>
      <c r="V23" s="15"/>
      <c r="W23" s="15" t="s">
        <v>1163</v>
      </c>
      <c r="X23" s="15"/>
      <c r="Y23" s="15" t="n">
        <f aca="false">COUNTIF(B23:X23,"A")</f>
        <v>1</v>
      </c>
    </row>
    <row r="24" customFormat="false" ht="15" hidden="false" customHeight="false" outlineLevel="0" collapsed="false">
      <c r="A24" s="16" t="s">
        <v>1184</v>
      </c>
      <c r="B24" s="15" t="s">
        <v>1162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 t="s">
        <v>1163</v>
      </c>
      <c r="U24" s="15"/>
      <c r="V24" s="15"/>
      <c r="W24" s="15" t="s">
        <v>1164</v>
      </c>
      <c r="X24" s="15"/>
      <c r="Y24" s="15" t="n">
        <f aca="false">COUNTIF(B24:X24,"A")</f>
        <v>1</v>
      </c>
    </row>
    <row r="25" customFormat="false" ht="15" hidden="false" customHeight="false" outlineLevel="0" collapsed="false">
      <c r="A25" s="16" t="s">
        <v>1185</v>
      </c>
      <c r="B25" s="15" t="s">
        <v>1164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 t="s">
        <v>1163</v>
      </c>
      <c r="P25" s="15"/>
      <c r="Q25" s="15"/>
      <c r="R25" s="15"/>
      <c r="S25" s="15"/>
      <c r="T25" s="15"/>
      <c r="U25" s="15"/>
      <c r="V25" s="15" t="s">
        <v>1162</v>
      </c>
      <c r="W25" s="15" t="s">
        <v>1163</v>
      </c>
      <c r="X25" s="15"/>
      <c r="Y25" s="15" t="n">
        <f aca="false">COUNTIF(B25:X25,"A")</f>
        <v>1</v>
      </c>
    </row>
    <row r="26" customFormat="false" ht="15" hidden="false" customHeight="false" outlineLevel="0" collapsed="false">
      <c r="A26" s="16" t="s">
        <v>1186</v>
      </c>
      <c r="B26" s="15" t="s">
        <v>1164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 t="s">
        <v>1162</v>
      </c>
      <c r="S26" s="15"/>
      <c r="T26" s="15"/>
      <c r="U26" s="15"/>
      <c r="V26" s="15"/>
      <c r="W26" s="15" t="s">
        <v>1167</v>
      </c>
      <c r="X26" s="15"/>
      <c r="Y26" s="15" t="n">
        <f aca="false">COUNTIF(B26:X26,"A")</f>
        <v>1</v>
      </c>
    </row>
    <row r="27" customFormat="false" ht="23.85" hidden="false" customHeight="false" outlineLevel="0" collapsed="false">
      <c r="A27" s="16" t="s">
        <v>1187</v>
      </c>
      <c r="B27" s="15" t="s">
        <v>1164</v>
      </c>
      <c r="C27" s="15"/>
      <c r="D27" s="15"/>
      <c r="E27" s="15"/>
      <c r="F27" s="15"/>
      <c r="G27" s="15"/>
      <c r="H27" s="15"/>
      <c r="I27" s="15" t="s">
        <v>1162</v>
      </c>
      <c r="J27" s="15"/>
      <c r="K27" s="15"/>
      <c r="L27" s="15"/>
      <c r="M27" s="15" t="s">
        <v>1162</v>
      </c>
      <c r="N27" s="15"/>
      <c r="O27" s="15" t="s">
        <v>1163</v>
      </c>
      <c r="P27" s="15"/>
      <c r="Q27" s="15"/>
      <c r="R27" s="15"/>
      <c r="S27" s="15"/>
      <c r="T27" s="15" t="s">
        <v>1163</v>
      </c>
      <c r="U27" s="15"/>
      <c r="V27" s="15"/>
      <c r="W27" s="15" t="s">
        <v>1167</v>
      </c>
      <c r="X27" s="15"/>
      <c r="Y27" s="15" t="n">
        <f aca="false">COUNTIF(B27:X27,"A")</f>
        <v>1</v>
      </c>
    </row>
    <row r="28" customFormat="false" ht="15" hidden="false" customHeight="false" outlineLevel="0" collapsed="false">
      <c r="A28" s="16" t="s">
        <v>1188</v>
      </c>
      <c r="B28" s="15" t="s">
        <v>1164</v>
      </c>
      <c r="C28" s="15"/>
      <c r="D28" s="15"/>
      <c r="E28" s="15"/>
      <c r="F28" s="15"/>
      <c r="G28" s="15"/>
      <c r="H28" s="15"/>
      <c r="I28" s="15" t="s">
        <v>1162</v>
      </c>
      <c r="J28" s="15"/>
      <c r="K28" s="15"/>
      <c r="L28" s="15"/>
      <c r="M28" s="15"/>
      <c r="N28" s="15"/>
      <c r="O28" s="15" t="s">
        <v>1163</v>
      </c>
      <c r="P28" s="15"/>
      <c r="Q28" s="15"/>
      <c r="R28" s="15"/>
      <c r="S28" s="15" t="s">
        <v>1162</v>
      </c>
      <c r="T28" s="15"/>
      <c r="U28" s="15"/>
      <c r="V28" s="15"/>
      <c r="W28" s="15" t="s">
        <v>1167</v>
      </c>
      <c r="X28" s="15" t="s">
        <v>1163</v>
      </c>
      <c r="Y28" s="15" t="n">
        <f aca="false">COUNTIF(B28:X28,"A")</f>
        <v>1</v>
      </c>
    </row>
    <row r="29" customFormat="false" ht="15" hidden="false" customHeight="false" outlineLevel="0" collapsed="false">
      <c r="A29" s="16" t="s">
        <v>1189</v>
      </c>
      <c r="B29" s="15" t="s">
        <v>1164</v>
      </c>
      <c r="C29" s="15"/>
      <c r="D29" s="15"/>
      <c r="E29" s="15" t="s">
        <v>1162</v>
      </c>
      <c r="F29" s="15"/>
      <c r="G29" s="15"/>
      <c r="H29" s="15" t="s">
        <v>1162</v>
      </c>
      <c r="I29" s="15"/>
      <c r="J29" s="15"/>
      <c r="K29" s="15" t="s">
        <v>1163</v>
      </c>
      <c r="L29" s="15" t="s">
        <v>1163</v>
      </c>
      <c r="M29" s="15"/>
      <c r="N29" s="15"/>
      <c r="O29" s="15" t="s">
        <v>1163</v>
      </c>
      <c r="P29" s="15"/>
      <c r="Q29" s="15"/>
      <c r="R29" s="15"/>
      <c r="S29" s="15"/>
      <c r="T29" s="15"/>
      <c r="U29" s="15"/>
      <c r="V29" s="15"/>
      <c r="W29" s="15"/>
      <c r="X29" s="15" t="s">
        <v>1163</v>
      </c>
      <c r="Y29" s="15" t="n">
        <f aca="false">COUNTIF(B29:X29,"A")</f>
        <v>1</v>
      </c>
    </row>
    <row r="30" customFormat="false" ht="23.85" hidden="false" customHeight="false" outlineLevel="0" collapsed="false">
      <c r="A30" s="16" t="s">
        <v>1190</v>
      </c>
      <c r="B30" s="15" t="s">
        <v>1163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 t="s">
        <v>1162</v>
      </c>
      <c r="O30" s="15"/>
      <c r="P30" s="15"/>
      <c r="Q30" s="15" t="s">
        <v>1162</v>
      </c>
      <c r="R30" s="15"/>
      <c r="S30" s="15"/>
      <c r="T30" s="15"/>
      <c r="U30" s="15"/>
      <c r="V30" s="15"/>
      <c r="W30" s="15" t="s">
        <v>1164</v>
      </c>
      <c r="X30" s="15"/>
      <c r="Y30" s="15" t="n">
        <f aca="false">COUNTIF(B30:X30,"A")</f>
        <v>1</v>
      </c>
    </row>
    <row r="31" customFormat="false" ht="15" hidden="false" customHeight="false" outlineLevel="0" collapsed="false">
      <c r="A31" s="16" t="s">
        <v>1191</v>
      </c>
      <c r="B31" s="15" t="s">
        <v>1164</v>
      </c>
      <c r="C31" s="15"/>
      <c r="D31" s="15"/>
      <c r="E31" s="15" t="s">
        <v>1162</v>
      </c>
      <c r="F31" s="15"/>
      <c r="G31" s="15"/>
      <c r="H31" s="15"/>
      <c r="I31" s="15"/>
      <c r="J31" s="15" t="s">
        <v>1162</v>
      </c>
      <c r="K31" s="15" t="s">
        <v>1162</v>
      </c>
      <c r="L31" s="15" t="s">
        <v>1163</v>
      </c>
      <c r="M31" s="15"/>
      <c r="N31" s="15" t="s">
        <v>1163</v>
      </c>
      <c r="O31" s="15" t="s">
        <v>1163</v>
      </c>
      <c r="P31" s="15"/>
      <c r="Q31" s="15"/>
      <c r="R31" s="15"/>
      <c r="S31" s="15"/>
      <c r="T31" s="15"/>
      <c r="U31" s="15"/>
      <c r="V31" s="15"/>
      <c r="W31" s="15" t="s">
        <v>1167</v>
      </c>
      <c r="X31" s="15"/>
      <c r="Y31" s="15" t="n">
        <f aca="false">COUNTIF(B31:X31,"A")</f>
        <v>1</v>
      </c>
    </row>
    <row r="32" customFormat="false" ht="15" hidden="false" customHeight="false" outlineLevel="0" collapsed="false">
      <c r="A32" s="16" t="s">
        <v>1192</v>
      </c>
      <c r="B32" s="15"/>
      <c r="C32" s="15"/>
      <c r="D32" s="15"/>
      <c r="E32" s="15"/>
      <c r="F32" s="15"/>
      <c r="G32" s="15"/>
      <c r="H32" s="15"/>
      <c r="I32" s="15" t="s">
        <v>1167</v>
      </c>
      <c r="J32" s="15" t="s">
        <v>1167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 t="s">
        <v>1164</v>
      </c>
      <c r="X32" s="15"/>
      <c r="Y32" s="15" t="n">
        <f aca="false">COUNTIF(B32:X32,"A")</f>
        <v>1</v>
      </c>
    </row>
    <row r="33" customFormat="false" ht="15" hidden="false" customHeight="false" outlineLevel="0" collapsed="false">
      <c r="A33" s="2" t="s">
        <v>1193</v>
      </c>
    </row>
  </sheetData>
  <autoFilter ref="A3:X32"/>
  <conditionalFormatting sqref="B4:X32">
    <cfRule type="cellIs" priority="2" operator="equal" aboveAverage="0" equalAverage="0" bottom="0" percent="0" rank="0" text="" dxfId="10">
      <formula>"R"</formula>
    </cfRule>
    <cfRule type="cellIs" priority="3" operator="equal" aboveAverage="0" equalAverage="0" bottom="0" percent="0" rank="0" text="" dxfId="16">
      <formula>"A"</formula>
    </cfRule>
    <cfRule type="cellIs" priority="4" operator="equal" aboveAverage="0" equalAverage="0" bottom="0" percent="0" rank="0" text="" dxfId="8">
      <formula>"C"</formula>
    </cfRule>
    <cfRule type="cellIs" priority="5" operator="equal" aboveAverage="0" equalAverage="0" bottom="0" percent="0" rank="0" text="" dxfId="9">
      <formula>"I"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B45"/>
    <pageSetUpPr fitToPage="tru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3" t="s">
        <v>44</v>
      </c>
    </row>
    <row r="2" customFormat="false" ht="15" hidden="false" customHeight="false" outlineLevel="0" collapsed="false">
      <c r="A2" s="2" t="s">
        <v>1194</v>
      </c>
    </row>
    <row r="3" customFormat="false" ht="31.5" hidden="false" customHeight="true" outlineLevel="0" collapsed="false">
      <c r="A3" s="14" t="s">
        <v>275</v>
      </c>
      <c r="B3" s="14" t="s">
        <v>1195</v>
      </c>
      <c r="C3" s="14" t="s">
        <v>1196</v>
      </c>
      <c r="D3" s="14" t="s">
        <v>1197</v>
      </c>
      <c r="E3" s="14" t="s">
        <v>1198</v>
      </c>
      <c r="F3" s="14" t="s">
        <v>64</v>
      </c>
    </row>
    <row r="4" customFormat="false" ht="23.85" hidden="false" customHeight="false" outlineLevel="0" collapsed="false">
      <c r="A4" s="15" t="s">
        <v>1199</v>
      </c>
      <c r="B4" s="16" t="s">
        <v>1200</v>
      </c>
      <c r="C4" s="16" t="s">
        <v>1201</v>
      </c>
      <c r="D4" s="16" t="s">
        <v>1202</v>
      </c>
      <c r="E4" s="16" t="s">
        <v>1203</v>
      </c>
      <c r="F4" s="16" t="s">
        <v>1204</v>
      </c>
    </row>
    <row r="5" customFormat="false" ht="15" hidden="false" customHeight="false" outlineLevel="0" collapsed="false">
      <c r="A5" s="15" t="s">
        <v>1205</v>
      </c>
      <c r="B5" s="16" t="s">
        <v>1206</v>
      </c>
      <c r="C5" s="16" t="s">
        <v>1207</v>
      </c>
      <c r="D5" s="16" t="s">
        <v>1208</v>
      </c>
      <c r="E5" s="16" t="s">
        <v>531</v>
      </c>
      <c r="F5" s="16" t="s">
        <v>1204</v>
      </c>
    </row>
    <row r="6" customFormat="false" ht="15" hidden="false" customHeight="false" outlineLevel="0" collapsed="false">
      <c r="A6" s="15" t="s">
        <v>335</v>
      </c>
      <c r="B6" s="16" t="s">
        <v>1209</v>
      </c>
      <c r="C6" s="16" t="s">
        <v>1210</v>
      </c>
      <c r="D6" s="16" t="s">
        <v>1211</v>
      </c>
      <c r="E6" s="16" t="s">
        <v>531</v>
      </c>
      <c r="F6" s="16" t="s">
        <v>1204</v>
      </c>
    </row>
    <row r="7" customFormat="false" ht="23.85" hidden="false" customHeight="false" outlineLevel="0" collapsed="false">
      <c r="A7" s="15" t="s">
        <v>1212</v>
      </c>
      <c r="B7" s="16" t="s">
        <v>1213</v>
      </c>
      <c r="C7" s="16" t="s">
        <v>1214</v>
      </c>
      <c r="D7" s="16" t="s">
        <v>422</v>
      </c>
      <c r="E7" s="16" t="s">
        <v>531</v>
      </c>
      <c r="F7" s="16" t="s">
        <v>1204</v>
      </c>
    </row>
    <row r="8" customFormat="false" ht="15" hidden="false" customHeight="false" outlineLevel="0" collapsed="false">
      <c r="A8" s="15" t="s">
        <v>301</v>
      </c>
      <c r="B8" s="16" t="s">
        <v>1215</v>
      </c>
      <c r="C8" s="16" t="s">
        <v>1216</v>
      </c>
      <c r="D8" s="16" t="s">
        <v>1217</v>
      </c>
      <c r="E8" s="16" t="s">
        <v>531</v>
      </c>
      <c r="F8" s="16" t="s">
        <v>1204</v>
      </c>
    </row>
    <row r="9" customFormat="false" ht="23.85" hidden="false" customHeight="false" outlineLevel="0" collapsed="false">
      <c r="A9" s="15" t="s">
        <v>315</v>
      </c>
      <c r="B9" s="16" t="s">
        <v>1218</v>
      </c>
      <c r="C9" s="16" t="s">
        <v>1219</v>
      </c>
      <c r="D9" s="16" t="s">
        <v>413</v>
      </c>
      <c r="E9" s="16" t="s">
        <v>549</v>
      </c>
      <c r="F9" s="16" t="s">
        <v>1204</v>
      </c>
    </row>
    <row r="10" customFormat="false" ht="23.85" hidden="false" customHeight="false" outlineLevel="0" collapsed="false">
      <c r="A10" s="15" t="s">
        <v>444</v>
      </c>
      <c r="B10" s="16" t="s">
        <v>1220</v>
      </c>
      <c r="C10" s="16" t="s">
        <v>1221</v>
      </c>
      <c r="D10" s="16" t="s">
        <v>1222</v>
      </c>
      <c r="E10" s="16" t="s">
        <v>447</v>
      </c>
      <c r="F10" s="16" t="s">
        <v>1223</v>
      </c>
    </row>
    <row r="11" customFormat="false" ht="15" hidden="false" customHeight="false" outlineLevel="0" collapsed="false">
      <c r="A11" s="15" t="s">
        <v>437</v>
      </c>
      <c r="B11" s="16" t="s">
        <v>1224</v>
      </c>
      <c r="C11" s="16" t="s">
        <v>1225</v>
      </c>
      <c r="D11" s="16" t="s">
        <v>1226</v>
      </c>
      <c r="E11" s="16" t="s">
        <v>531</v>
      </c>
      <c r="F11" s="16" t="s">
        <v>1204</v>
      </c>
    </row>
    <row r="12" customFormat="false" ht="23.85" hidden="false" customHeight="false" outlineLevel="0" collapsed="false">
      <c r="A12" s="15" t="s">
        <v>1227</v>
      </c>
      <c r="B12" s="16" t="s">
        <v>1228</v>
      </c>
      <c r="C12" s="16" t="s">
        <v>1229</v>
      </c>
      <c r="D12" s="16" t="s">
        <v>1230</v>
      </c>
      <c r="E12" s="16" t="s">
        <v>531</v>
      </c>
      <c r="F12" s="16" t="s">
        <v>1204</v>
      </c>
    </row>
    <row r="13" customFormat="false" ht="15" hidden="false" customHeight="false" outlineLevel="0" collapsed="false">
      <c r="A13" s="15" t="s">
        <v>1231</v>
      </c>
      <c r="B13" s="16" t="s">
        <v>1232</v>
      </c>
      <c r="C13" s="16" t="s">
        <v>1233</v>
      </c>
      <c r="D13" s="16" t="s">
        <v>453</v>
      </c>
      <c r="E13" s="16" t="s">
        <v>531</v>
      </c>
      <c r="F13" s="16" t="s">
        <v>1204</v>
      </c>
    </row>
    <row r="14" customFormat="false" ht="23.85" hidden="false" customHeight="false" outlineLevel="0" collapsed="false">
      <c r="A14" s="15" t="s">
        <v>577</v>
      </c>
      <c r="B14" s="16" t="s">
        <v>1234</v>
      </c>
      <c r="C14" s="16" t="s">
        <v>1235</v>
      </c>
      <c r="D14" s="16" t="s">
        <v>1230</v>
      </c>
      <c r="E14" s="16" t="s">
        <v>531</v>
      </c>
      <c r="F14" s="16" t="s">
        <v>1204</v>
      </c>
    </row>
    <row r="15" customFormat="false" ht="15" hidden="false" customHeight="false" outlineLevel="0" collapsed="false">
      <c r="A15" s="15" t="s">
        <v>1236</v>
      </c>
      <c r="B15" s="16" t="s">
        <v>1237</v>
      </c>
      <c r="C15" s="16" t="s">
        <v>1238</v>
      </c>
      <c r="D15" s="16" t="s">
        <v>453</v>
      </c>
      <c r="E15" s="16" t="s">
        <v>531</v>
      </c>
      <c r="F15" s="16" t="s">
        <v>1204</v>
      </c>
    </row>
    <row r="16" customFormat="false" ht="23.85" hidden="false" customHeight="false" outlineLevel="0" collapsed="false">
      <c r="A16" s="15" t="s">
        <v>1239</v>
      </c>
      <c r="B16" s="16" t="s">
        <v>1240</v>
      </c>
      <c r="C16" s="16" t="s">
        <v>1241</v>
      </c>
      <c r="D16" s="16" t="s">
        <v>1242</v>
      </c>
      <c r="E16" s="16" t="s">
        <v>549</v>
      </c>
      <c r="F16" s="16" t="s">
        <v>1204</v>
      </c>
    </row>
    <row r="17" customFormat="false" ht="15" hidden="false" customHeight="false" outlineLevel="0" collapsed="false">
      <c r="A17" s="15" t="s">
        <v>1243</v>
      </c>
      <c r="B17" s="16" t="s">
        <v>1244</v>
      </c>
      <c r="C17" s="16" t="s">
        <v>1245</v>
      </c>
      <c r="D17" s="16" t="s">
        <v>1246</v>
      </c>
      <c r="E17" s="16" t="s">
        <v>536</v>
      </c>
      <c r="F17" s="16" t="s">
        <v>1204</v>
      </c>
    </row>
    <row r="18" customFormat="false" ht="23.85" hidden="false" customHeight="false" outlineLevel="0" collapsed="false">
      <c r="A18" s="15" t="s">
        <v>509</v>
      </c>
      <c r="B18" s="16" t="s">
        <v>1247</v>
      </c>
      <c r="C18" s="16" t="s">
        <v>1248</v>
      </c>
      <c r="D18" s="16" t="s">
        <v>1249</v>
      </c>
      <c r="E18" s="16" t="s">
        <v>549</v>
      </c>
      <c r="F18" s="16" t="s">
        <v>1250</v>
      </c>
    </row>
    <row r="19" customFormat="false" ht="15" hidden="false" customHeight="false" outlineLevel="0" collapsed="false">
      <c r="A19" s="15" t="s">
        <v>590</v>
      </c>
      <c r="B19" s="16" t="s">
        <v>1251</v>
      </c>
      <c r="C19" s="16" t="s">
        <v>1252</v>
      </c>
      <c r="D19" s="16" t="s">
        <v>1253</v>
      </c>
      <c r="E19" s="16" t="s">
        <v>516</v>
      </c>
      <c r="F19" s="16" t="s">
        <v>1204</v>
      </c>
    </row>
    <row r="20" customFormat="false" ht="15" hidden="false" customHeight="false" outlineLevel="0" collapsed="false">
      <c r="A20" s="15" t="s">
        <v>1254</v>
      </c>
      <c r="B20" s="16" t="s">
        <v>1255</v>
      </c>
      <c r="C20" s="16" t="s">
        <v>1256</v>
      </c>
      <c r="D20" s="16" t="s">
        <v>422</v>
      </c>
      <c r="E20" s="16" t="s">
        <v>536</v>
      </c>
      <c r="F20" s="16" t="s">
        <v>1204</v>
      </c>
    </row>
    <row r="21" customFormat="false" ht="15" hidden="false" customHeight="false" outlineLevel="0" collapsed="false">
      <c r="A21" s="15" t="s">
        <v>1257</v>
      </c>
      <c r="B21" s="16" t="s">
        <v>1258</v>
      </c>
      <c r="C21" s="16" t="s">
        <v>1259</v>
      </c>
      <c r="D21" s="16" t="s">
        <v>453</v>
      </c>
      <c r="E21" s="16" t="s">
        <v>536</v>
      </c>
      <c r="F21" s="16" t="s">
        <v>1204</v>
      </c>
    </row>
    <row r="22" customFormat="false" ht="23.85" hidden="false" customHeight="false" outlineLevel="0" collapsed="false">
      <c r="A22" s="15" t="s">
        <v>296</v>
      </c>
      <c r="B22" s="16" t="s">
        <v>1260</v>
      </c>
      <c r="C22" s="16" t="s">
        <v>1261</v>
      </c>
      <c r="D22" s="16" t="s">
        <v>1262</v>
      </c>
      <c r="E22" s="16" t="s">
        <v>542</v>
      </c>
      <c r="F22" s="16" t="s">
        <v>307</v>
      </c>
    </row>
    <row r="23" customFormat="false" ht="23.85" hidden="false" customHeight="false" outlineLevel="0" collapsed="false">
      <c r="A23" s="15" t="s">
        <v>723</v>
      </c>
      <c r="B23" s="16" t="s">
        <v>1263</v>
      </c>
      <c r="C23" s="16" t="s">
        <v>1264</v>
      </c>
      <c r="D23" s="16" t="s">
        <v>1265</v>
      </c>
      <c r="E23" s="16" t="s">
        <v>748</v>
      </c>
      <c r="F23" s="16" t="s">
        <v>347</v>
      </c>
    </row>
    <row r="24" customFormat="false" ht="23.85" hidden="false" customHeight="false" outlineLevel="0" collapsed="false">
      <c r="A24" s="15" t="s">
        <v>742</v>
      </c>
      <c r="B24" s="16" t="s">
        <v>1266</v>
      </c>
      <c r="C24" s="16" t="s">
        <v>1264</v>
      </c>
      <c r="D24" s="16" t="s">
        <v>736</v>
      </c>
      <c r="E24" s="16" t="s">
        <v>748</v>
      </c>
      <c r="F24" s="16" t="s">
        <v>347</v>
      </c>
    </row>
    <row r="25" customFormat="false" ht="23.85" hidden="false" customHeight="false" outlineLevel="0" collapsed="false">
      <c r="A25" s="15" t="s">
        <v>729</v>
      </c>
      <c r="B25" s="16" t="s">
        <v>1267</v>
      </c>
      <c r="C25" s="16" t="s">
        <v>1264</v>
      </c>
      <c r="D25" s="16" t="s">
        <v>725</v>
      </c>
      <c r="E25" s="16" t="s">
        <v>748</v>
      </c>
      <c r="F25" s="16" t="s">
        <v>347</v>
      </c>
    </row>
    <row r="26" customFormat="false" ht="23.85" hidden="false" customHeight="false" outlineLevel="0" collapsed="false">
      <c r="A26" s="15" t="s">
        <v>771</v>
      </c>
      <c r="B26" s="16" t="s">
        <v>1268</v>
      </c>
      <c r="C26" s="16" t="s">
        <v>1264</v>
      </c>
      <c r="D26" s="16" t="s">
        <v>1269</v>
      </c>
      <c r="E26" s="16" t="s">
        <v>784</v>
      </c>
      <c r="F26" s="16" t="s">
        <v>347</v>
      </c>
    </row>
    <row r="27" customFormat="false" ht="23.85" hidden="false" customHeight="false" outlineLevel="0" collapsed="false">
      <c r="A27" s="15" t="s">
        <v>1270</v>
      </c>
      <c r="B27" s="16" t="s">
        <v>1271</v>
      </c>
      <c r="C27" s="16" t="s">
        <v>1264</v>
      </c>
      <c r="D27" s="16" t="s">
        <v>772</v>
      </c>
      <c r="E27" s="16" t="s">
        <v>784</v>
      </c>
      <c r="F27" s="16" t="s">
        <v>347</v>
      </c>
    </row>
    <row r="28" customFormat="false" ht="23.85" hidden="false" customHeight="false" outlineLevel="0" collapsed="false">
      <c r="A28" s="15" t="s">
        <v>1272</v>
      </c>
      <c r="B28" s="16" t="s">
        <v>1273</v>
      </c>
      <c r="C28" s="16" t="s">
        <v>1264</v>
      </c>
      <c r="D28" s="16" t="s">
        <v>772</v>
      </c>
      <c r="E28" s="16" t="s">
        <v>794</v>
      </c>
      <c r="F28" s="16" t="s">
        <v>347</v>
      </c>
    </row>
    <row r="29" customFormat="false" ht="23.85" hidden="false" customHeight="false" outlineLevel="0" collapsed="false">
      <c r="A29" s="15" t="s">
        <v>807</v>
      </c>
      <c r="B29" s="16" t="s">
        <v>1274</v>
      </c>
      <c r="C29" s="16" t="s">
        <v>1264</v>
      </c>
      <c r="D29" s="16" t="s">
        <v>808</v>
      </c>
      <c r="E29" s="16" t="s">
        <v>826</v>
      </c>
      <c r="F29" s="16" t="s">
        <v>347</v>
      </c>
    </row>
    <row r="30" customFormat="false" ht="23.85" hidden="false" customHeight="false" outlineLevel="0" collapsed="false">
      <c r="A30" s="15" t="s">
        <v>843</v>
      </c>
      <c r="B30" s="16" t="s">
        <v>1275</v>
      </c>
      <c r="C30" s="16" t="s">
        <v>1264</v>
      </c>
      <c r="D30" s="16" t="s">
        <v>1276</v>
      </c>
      <c r="E30" s="16" t="s">
        <v>862</v>
      </c>
      <c r="F30" s="16" t="s">
        <v>347</v>
      </c>
    </row>
    <row r="31" customFormat="false" ht="23.85" hidden="false" customHeight="false" outlineLevel="0" collapsed="false">
      <c r="A31" s="15" t="s">
        <v>836</v>
      </c>
      <c r="B31" s="16" t="s">
        <v>1277</v>
      </c>
      <c r="C31" s="16" t="s">
        <v>1264</v>
      </c>
      <c r="D31" s="16" t="s">
        <v>1278</v>
      </c>
      <c r="E31" s="16" t="s">
        <v>862</v>
      </c>
      <c r="F31" s="16" t="s">
        <v>347</v>
      </c>
    </row>
    <row r="32" customFormat="false" ht="23.85" hidden="false" customHeight="false" outlineLevel="0" collapsed="false">
      <c r="A32" s="15" t="s">
        <v>816</v>
      </c>
      <c r="B32" s="16" t="s">
        <v>1279</v>
      </c>
      <c r="C32" s="16" t="s">
        <v>1280</v>
      </c>
      <c r="D32" s="16" t="s">
        <v>812</v>
      </c>
      <c r="E32" s="16" t="s">
        <v>826</v>
      </c>
      <c r="F32" s="16" t="s">
        <v>347</v>
      </c>
    </row>
    <row r="33" customFormat="false" ht="35.05" hidden="false" customHeight="false" outlineLevel="0" collapsed="false">
      <c r="A33" s="15" t="s">
        <v>714</v>
      </c>
      <c r="B33" s="16" t="s">
        <v>1281</v>
      </c>
      <c r="C33" s="16" t="s">
        <v>1282</v>
      </c>
      <c r="D33" s="16" t="s">
        <v>1283</v>
      </c>
      <c r="E33" s="16" t="s">
        <v>794</v>
      </c>
      <c r="F33" s="16" t="s">
        <v>347</v>
      </c>
    </row>
    <row r="34" customFormat="false" ht="46.25" hidden="false" customHeight="false" outlineLevel="0" collapsed="false">
      <c r="A34" s="15" t="s">
        <v>879</v>
      </c>
      <c r="B34" s="16" t="s">
        <v>1284</v>
      </c>
      <c r="C34" s="16" t="s">
        <v>878</v>
      </c>
      <c r="D34" s="16" t="s">
        <v>873</v>
      </c>
      <c r="E34" s="16" t="s">
        <v>943</v>
      </c>
      <c r="F34" s="16" t="s">
        <v>347</v>
      </c>
    </row>
    <row r="35" customFormat="false" ht="23.85" hidden="false" customHeight="false" outlineLevel="0" collapsed="false">
      <c r="A35" s="15" t="s">
        <v>885</v>
      </c>
      <c r="B35" s="16" t="s">
        <v>1285</v>
      </c>
      <c r="C35" s="16" t="s">
        <v>1286</v>
      </c>
      <c r="D35" s="16" t="s">
        <v>1287</v>
      </c>
      <c r="E35" s="16" t="s">
        <v>943</v>
      </c>
      <c r="F35" s="16" t="s">
        <v>347</v>
      </c>
    </row>
    <row r="36" customFormat="false" ht="35.05" hidden="false" customHeight="false" outlineLevel="0" collapsed="false">
      <c r="A36" s="15" t="s">
        <v>902</v>
      </c>
      <c r="B36" s="16" t="s">
        <v>1288</v>
      </c>
      <c r="C36" s="16" t="s">
        <v>1289</v>
      </c>
      <c r="D36" s="16" t="s">
        <v>1290</v>
      </c>
      <c r="E36" s="16" t="s">
        <v>943</v>
      </c>
      <c r="F36" s="16" t="s">
        <v>347</v>
      </c>
    </row>
    <row r="37" customFormat="false" ht="23.85" hidden="false" customHeight="false" outlineLevel="0" collapsed="false">
      <c r="A37" s="15" t="s">
        <v>908</v>
      </c>
      <c r="B37" s="16" t="s">
        <v>1291</v>
      </c>
      <c r="C37" s="16" t="s">
        <v>1292</v>
      </c>
      <c r="D37" s="16" t="s">
        <v>1293</v>
      </c>
      <c r="E37" s="16" t="s">
        <v>943</v>
      </c>
      <c r="F37" s="16" t="s">
        <v>347</v>
      </c>
    </row>
    <row r="38" customFormat="false" ht="35.05" hidden="false" customHeight="false" outlineLevel="0" collapsed="false">
      <c r="A38" s="15" t="s">
        <v>915</v>
      </c>
      <c r="B38" s="16" t="s">
        <v>1294</v>
      </c>
      <c r="C38" s="16" t="s">
        <v>914</v>
      </c>
      <c r="D38" s="16" t="s">
        <v>909</v>
      </c>
      <c r="E38" s="16" t="s">
        <v>943</v>
      </c>
      <c r="F38" s="16" t="s">
        <v>347</v>
      </c>
    </row>
    <row r="39" customFormat="false" ht="35.05" hidden="false" customHeight="false" outlineLevel="0" collapsed="false">
      <c r="A39" s="15" t="s">
        <v>922</v>
      </c>
      <c r="B39" s="16" t="s">
        <v>1295</v>
      </c>
      <c r="C39" s="16" t="s">
        <v>1296</v>
      </c>
      <c r="D39" s="16" t="s">
        <v>1297</v>
      </c>
      <c r="E39" s="16" t="s">
        <v>1298</v>
      </c>
      <c r="F39" s="16" t="s">
        <v>347</v>
      </c>
    </row>
    <row r="40" customFormat="false" ht="35.05" hidden="false" customHeight="false" outlineLevel="0" collapsed="false">
      <c r="A40" s="15" t="s">
        <v>990</v>
      </c>
      <c r="B40" s="16" t="s">
        <v>1299</v>
      </c>
      <c r="C40" s="16" t="s">
        <v>989</v>
      </c>
      <c r="D40" s="16" t="s">
        <v>1300</v>
      </c>
      <c r="E40" s="16" t="s">
        <v>995</v>
      </c>
      <c r="F40" s="16" t="s">
        <v>347</v>
      </c>
    </row>
    <row r="41" customFormat="false" ht="35.05" hidden="false" customHeight="false" outlineLevel="0" collapsed="false">
      <c r="A41" s="15" t="s">
        <v>617</v>
      </c>
      <c r="B41" s="16" t="s">
        <v>1301</v>
      </c>
      <c r="C41" s="16" t="s">
        <v>1302</v>
      </c>
      <c r="D41" s="16" t="s">
        <v>1303</v>
      </c>
      <c r="E41" s="16" t="s">
        <v>1304</v>
      </c>
      <c r="F41" s="16" t="s">
        <v>1305</v>
      </c>
    </row>
    <row r="42" customFormat="false" ht="46.25" hidden="false" customHeight="false" outlineLevel="0" collapsed="false">
      <c r="A42" s="15" t="s">
        <v>625</v>
      </c>
      <c r="B42" s="16" t="s">
        <v>1306</v>
      </c>
      <c r="C42" s="16" t="s">
        <v>1307</v>
      </c>
      <c r="D42" s="16" t="s">
        <v>619</v>
      </c>
      <c r="E42" s="16" t="s">
        <v>627</v>
      </c>
      <c r="F42" s="16" t="s">
        <v>347</v>
      </c>
    </row>
    <row r="43" customFormat="false" ht="35.05" hidden="false" customHeight="false" outlineLevel="0" collapsed="false">
      <c r="A43" s="15" t="s">
        <v>1008</v>
      </c>
      <c r="B43" s="16" t="s">
        <v>1308</v>
      </c>
      <c r="C43" s="16" t="s">
        <v>1309</v>
      </c>
      <c r="D43" s="16" t="s">
        <v>1310</v>
      </c>
      <c r="E43" s="16" t="s">
        <v>1048</v>
      </c>
      <c r="F43" s="16" t="s">
        <v>347</v>
      </c>
    </row>
    <row r="44" customFormat="false" ht="23.85" hidden="false" customHeight="false" outlineLevel="0" collapsed="false">
      <c r="A44" s="15" t="s">
        <v>1046</v>
      </c>
      <c r="B44" s="16" t="s">
        <v>1311</v>
      </c>
      <c r="C44" s="16" t="s">
        <v>1045</v>
      </c>
      <c r="D44" s="16" t="s">
        <v>1040</v>
      </c>
      <c r="E44" s="16" t="s">
        <v>1048</v>
      </c>
      <c r="F44" s="16" t="s">
        <v>347</v>
      </c>
    </row>
    <row r="45" customFormat="false" ht="35.05" hidden="false" customHeight="false" outlineLevel="0" collapsed="false">
      <c r="A45" s="15" t="s">
        <v>1066</v>
      </c>
      <c r="B45" s="16" t="s">
        <v>1312</v>
      </c>
      <c r="C45" s="16" t="s">
        <v>1313</v>
      </c>
      <c r="D45" s="16" t="s">
        <v>1314</v>
      </c>
      <c r="E45" s="16" t="s">
        <v>1094</v>
      </c>
      <c r="F45" s="16" t="s">
        <v>347</v>
      </c>
    </row>
    <row r="46" customFormat="false" ht="35.05" hidden="false" customHeight="false" outlineLevel="0" collapsed="false">
      <c r="A46" s="15" t="s">
        <v>1072</v>
      </c>
      <c r="B46" s="16" t="s">
        <v>1315</v>
      </c>
      <c r="C46" s="16" t="s">
        <v>1316</v>
      </c>
      <c r="D46" s="16" t="s">
        <v>1317</v>
      </c>
      <c r="E46" s="16" t="s">
        <v>1094</v>
      </c>
      <c r="F46" s="16" t="s">
        <v>347</v>
      </c>
    </row>
    <row r="47" customFormat="false" ht="23.85" hidden="false" customHeight="false" outlineLevel="0" collapsed="false">
      <c r="A47" s="15" t="s">
        <v>386</v>
      </c>
      <c r="B47" s="16" t="s">
        <v>1318</v>
      </c>
      <c r="C47" s="16" t="s">
        <v>1319</v>
      </c>
      <c r="D47" s="16" t="s">
        <v>381</v>
      </c>
      <c r="E47" s="16" t="s">
        <v>1320</v>
      </c>
      <c r="F47" s="16" t="s">
        <v>307</v>
      </c>
    </row>
  </sheetData>
  <autoFilter ref="A3:F47"/>
  <conditionalFormatting sqref="F4:F47">
    <cfRule type="expression" priority="2" aboveAverage="0" equalAverage="0" bottom="0" percent="0" rank="0" text="" dxfId="6">
      <formula>LEFT(F4,7)="Selesai"</formula>
    </cfRule>
    <cfRule type="expression" priority="3" aboveAverage="0" equalAverage="0" bottom="0" percent="0" rank="0" text="" dxfId="7">
      <formula>LEFT(F4,8)="Snapshot"</formula>
    </cfRule>
    <cfRule type="expression" priority="4" aboveAverage="0" equalAverage="0" bottom="0" percent="0" rank="0" text="" dxfId="6">
      <formula>LEFT(F4,8)="Terbukti"</formula>
    </cfRule>
    <cfRule type="expression" priority="5" aboveAverage="0" equalAverage="0" bottom="0" percent="0" rank="0" text="" dxfId="7">
      <formula>LEFT(F4,4)="Test"</formula>
    </cfRule>
    <cfRule type="expression" priority="6" aboveAverage="0" equalAverage="0" bottom="0" percent="0" rank="0" text="" dxfId="8">
      <formula>LEFT(F4,8)="Sebagian"</formula>
    </cfRule>
    <cfRule type="expression" priority="7" aboveAverage="0" equalAverage="0" bottom="0" percent="0" rank="0" text="" dxfId="9">
      <formula>LEFT(F4,5)="Belum"</formula>
    </cfRule>
    <cfRule type="expression" priority="8" aboveAverage="0" equalAverage="0" bottom="0" percent="0" rank="0" text="" dxfId="10">
      <formula>LEFT(F4,5)="Aktif"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B45"/>
    <pageSetUpPr fitToPage="tru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36"/>
  </cols>
  <sheetData>
    <row r="1" customFormat="false" ht="17.35" hidden="false" customHeight="false" outlineLevel="0" collapsed="false">
      <c r="A1" s="13" t="s">
        <v>1321</v>
      </c>
    </row>
    <row r="2" customFormat="false" ht="15" hidden="false" customHeight="false" outlineLevel="0" collapsed="false">
      <c r="A2" s="2" t="s">
        <v>1322</v>
      </c>
    </row>
    <row r="3" customFormat="false" ht="31.5" hidden="false" customHeight="true" outlineLevel="0" collapsed="false">
      <c r="A3" s="14" t="s">
        <v>268</v>
      </c>
      <c r="B3" s="14" t="s">
        <v>1123</v>
      </c>
      <c r="C3" s="14" t="s">
        <v>274</v>
      </c>
      <c r="D3" s="14" t="s">
        <v>276</v>
      </c>
      <c r="E3" s="14" t="s">
        <v>1323</v>
      </c>
      <c r="F3" s="14" t="s">
        <v>1324</v>
      </c>
      <c r="G3" s="14" t="s">
        <v>1325</v>
      </c>
    </row>
    <row r="4" customFormat="false" ht="15" hidden="false" customHeight="false" outlineLevel="0" collapsed="false">
      <c r="A4" s="15" t="s">
        <v>1326</v>
      </c>
      <c r="B4" s="16" t="s">
        <v>1327</v>
      </c>
      <c r="C4" s="16" t="s">
        <v>1328</v>
      </c>
      <c r="D4" s="15" t="s">
        <v>287</v>
      </c>
      <c r="E4" s="16" t="s">
        <v>1329</v>
      </c>
      <c r="F4" s="16" t="s">
        <v>1330</v>
      </c>
      <c r="G4" s="16" t="s">
        <v>1331</v>
      </c>
    </row>
    <row r="5" customFormat="false" ht="15" hidden="false" customHeight="false" outlineLevel="0" collapsed="false">
      <c r="A5" s="15" t="s">
        <v>1332</v>
      </c>
      <c r="B5" s="16" t="s">
        <v>1333</v>
      </c>
      <c r="C5" s="16" t="s">
        <v>1334</v>
      </c>
      <c r="D5" s="15" t="s">
        <v>287</v>
      </c>
      <c r="E5" s="16" t="s">
        <v>1335</v>
      </c>
      <c r="F5" s="16" t="s">
        <v>1330</v>
      </c>
      <c r="G5" s="16" t="s">
        <v>248</v>
      </c>
    </row>
    <row r="6" customFormat="false" ht="15" hidden="false" customHeight="false" outlineLevel="0" collapsed="false">
      <c r="A6" s="15" t="s">
        <v>1336</v>
      </c>
      <c r="B6" s="16" t="s">
        <v>1337</v>
      </c>
      <c r="C6" s="16" t="s">
        <v>1338</v>
      </c>
      <c r="D6" s="15" t="s">
        <v>287</v>
      </c>
      <c r="E6" s="16" t="s">
        <v>1339</v>
      </c>
      <c r="F6" s="16" t="s">
        <v>1330</v>
      </c>
      <c r="G6" s="16" t="s">
        <v>1340</v>
      </c>
    </row>
    <row r="7" customFormat="false" ht="15" hidden="false" customHeight="false" outlineLevel="0" collapsed="false">
      <c r="A7" s="15" t="s">
        <v>1341</v>
      </c>
      <c r="B7" s="16" t="s">
        <v>1342</v>
      </c>
      <c r="C7" s="16" t="s">
        <v>1343</v>
      </c>
      <c r="D7" s="15" t="s">
        <v>287</v>
      </c>
      <c r="E7" s="16" t="s">
        <v>1344</v>
      </c>
      <c r="F7" s="16" t="s">
        <v>1330</v>
      </c>
      <c r="G7" s="16" t="s">
        <v>248</v>
      </c>
    </row>
    <row r="8" customFormat="false" ht="15" hidden="false" customHeight="false" outlineLevel="0" collapsed="false">
      <c r="A8" s="15" t="s">
        <v>1345</v>
      </c>
      <c r="B8" s="16" t="s">
        <v>1346</v>
      </c>
      <c r="C8" s="16" t="s">
        <v>1347</v>
      </c>
      <c r="D8" s="15" t="s">
        <v>287</v>
      </c>
      <c r="E8" s="16" t="s">
        <v>1348</v>
      </c>
      <c r="F8" s="16" t="s">
        <v>1330</v>
      </c>
      <c r="G8" s="16" t="s">
        <v>1349</v>
      </c>
    </row>
    <row r="9" customFormat="false" ht="15" hidden="false" customHeight="false" outlineLevel="0" collapsed="false">
      <c r="A9" s="15" t="s">
        <v>1350</v>
      </c>
      <c r="B9" s="16" t="s">
        <v>1351</v>
      </c>
      <c r="C9" s="16" t="s">
        <v>1352</v>
      </c>
      <c r="D9" s="15" t="s">
        <v>287</v>
      </c>
      <c r="E9" s="16" t="s">
        <v>895</v>
      </c>
      <c r="F9" s="16" t="s">
        <v>1330</v>
      </c>
      <c r="G9" s="16" t="s">
        <v>248</v>
      </c>
    </row>
    <row r="10" customFormat="false" ht="15" hidden="false" customHeight="false" outlineLevel="0" collapsed="false">
      <c r="A10" s="15" t="s">
        <v>1353</v>
      </c>
      <c r="B10" s="16" t="s">
        <v>1354</v>
      </c>
      <c r="C10" s="16" t="s">
        <v>1105</v>
      </c>
      <c r="D10" s="15" t="s">
        <v>1355</v>
      </c>
      <c r="E10" s="16" t="s">
        <v>1356</v>
      </c>
      <c r="F10" s="16" t="s">
        <v>1330</v>
      </c>
      <c r="G10" s="16" t="s">
        <v>1357</v>
      </c>
    </row>
    <row r="11" customFormat="false" ht="15" hidden="false" customHeight="false" outlineLevel="0" collapsed="false">
      <c r="A11" s="15" t="s">
        <v>1108</v>
      </c>
      <c r="B11" s="16" t="s">
        <v>1358</v>
      </c>
      <c r="C11" s="16" t="s">
        <v>1359</v>
      </c>
      <c r="D11" s="15" t="s">
        <v>287</v>
      </c>
      <c r="E11" s="16" t="s">
        <v>1360</v>
      </c>
      <c r="F11" s="16" t="s">
        <v>307</v>
      </c>
      <c r="G11" s="16" t="s">
        <v>1361</v>
      </c>
    </row>
    <row r="12" customFormat="false" ht="15" hidden="false" customHeight="false" outlineLevel="0" collapsed="false">
      <c r="A12" s="15" t="s">
        <v>1362</v>
      </c>
      <c r="B12" s="16" t="s">
        <v>1363</v>
      </c>
      <c r="C12" s="16" t="s">
        <v>1364</v>
      </c>
      <c r="D12" s="15" t="s">
        <v>287</v>
      </c>
      <c r="E12" s="16" t="s">
        <v>132</v>
      </c>
      <c r="F12" s="16" t="s">
        <v>1330</v>
      </c>
      <c r="G12" s="16" t="s">
        <v>1365</v>
      </c>
    </row>
    <row r="13" customFormat="false" ht="15" hidden="false" customHeight="false" outlineLevel="0" collapsed="false">
      <c r="A13" s="15" t="s">
        <v>440</v>
      </c>
      <c r="B13" s="16" t="s">
        <v>102</v>
      </c>
      <c r="C13" s="16" t="s">
        <v>443</v>
      </c>
      <c r="D13" s="15" t="s">
        <v>287</v>
      </c>
      <c r="E13" s="16" t="s">
        <v>101</v>
      </c>
      <c r="F13" s="16" t="s">
        <v>1366</v>
      </c>
      <c r="G13" s="16" t="s">
        <v>1367</v>
      </c>
    </row>
    <row r="14" customFormat="false" ht="15" hidden="false" customHeight="false" outlineLevel="0" collapsed="false">
      <c r="A14" s="15" t="s">
        <v>1368</v>
      </c>
      <c r="B14" s="16" t="s">
        <v>1369</v>
      </c>
      <c r="C14" s="16" t="s">
        <v>1370</v>
      </c>
      <c r="D14" s="15" t="s">
        <v>287</v>
      </c>
      <c r="E14" s="16" t="s">
        <v>1371</v>
      </c>
      <c r="F14" s="16" t="s">
        <v>1330</v>
      </c>
      <c r="G14" s="16" t="s">
        <v>248</v>
      </c>
    </row>
    <row r="15" customFormat="false" ht="15" hidden="false" customHeight="false" outlineLevel="0" collapsed="false">
      <c r="A15" s="15" t="s">
        <v>432</v>
      </c>
      <c r="B15" s="16" t="s">
        <v>1372</v>
      </c>
      <c r="C15" s="16" t="s">
        <v>436</v>
      </c>
      <c r="D15" s="15" t="s">
        <v>1355</v>
      </c>
      <c r="E15" s="16" t="s">
        <v>895</v>
      </c>
      <c r="F15" s="16" t="s">
        <v>307</v>
      </c>
      <c r="G15" s="16" t="s">
        <v>1373</v>
      </c>
    </row>
    <row r="16" customFormat="false" ht="15" hidden="false" customHeight="false" outlineLevel="0" collapsed="false">
      <c r="A16" s="15" t="s">
        <v>1374</v>
      </c>
      <c r="B16" s="16" t="s">
        <v>1375</v>
      </c>
      <c r="C16" s="16" t="s">
        <v>1376</v>
      </c>
      <c r="D16" s="15" t="s">
        <v>287</v>
      </c>
      <c r="E16" s="16" t="s">
        <v>895</v>
      </c>
      <c r="F16" s="16" t="s">
        <v>1330</v>
      </c>
      <c r="G16" s="16" t="s">
        <v>1377</v>
      </c>
    </row>
    <row r="17" customFormat="false" ht="15" hidden="false" customHeight="false" outlineLevel="0" collapsed="false">
      <c r="A17" s="15" t="s">
        <v>1378</v>
      </c>
      <c r="B17" s="16" t="s">
        <v>1379</v>
      </c>
      <c r="C17" s="16" t="s">
        <v>1380</v>
      </c>
      <c r="D17" s="15" t="s">
        <v>287</v>
      </c>
      <c r="E17" s="16" t="s">
        <v>1381</v>
      </c>
      <c r="F17" s="16" t="s">
        <v>1330</v>
      </c>
      <c r="G17" s="16" t="s">
        <v>1382</v>
      </c>
    </row>
    <row r="18" customFormat="false" ht="15" hidden="false" customHeight="false" outlineLevel="0" collapsed="false">
      <c r="A18" s="15" t="s">
        <v>1383</v>
      </c>
      <c r="B18" s="16" t="s">
        <v>1384</v>
      </c>
      <c r="C18" s="16" t="s">
        <v>1385</v>
      </c>
      <c r="D18" s="15" t="s">
        <v>1386</v>
      </c>
      <c r="E18" s="16" t="s">
        <v>1387</v>
      </c>
      <c r="F18" s="16" t="s">
        <v>307</v>
      </c>
      <c r="G18" s="16" t="s">
        <v>1388</v>
      </c>
    </row>
    <row r="19" customFormat="false" ht="15" hidden="false" customHeight="false" outlineLevel="0" collapsed="false">
      <c r="A19" s="15" t="s">
        <v>1389</v>
      </c>
      <c r="B19" s="16" t="s">
        <v>1390</v>
      </c>
      <c r="C19" s="16" t="s">
        <v>1391</v>
      </c>
      <c r="D19" s="15" t="s">
        <v>474</v>
      </c>
      <c r="E19" s="16" t="s">
        <v>906</v>
      </c>
      <c r="F19" s="16" t="s">
        <v>307</v>
      </c>
      <c r="G19" s="16" t="s">
        <v>1392</v>
      </c>
    </row>
    <row r="20" customFormat="false" ht="15" hidden="false" customHeight="false" outlineLevel="0" collapsed="false">
      <c r="A20" s="15" t="s">
        <v>517</v>
      </c>
      <c r="B20" s="16" t="s">
        <v>1393</v>
      </c>
      <c r="C20" s="16" t="s">
        <v>521</v>
      </c>
      <c r="D20" s="15" t="s">
        <v>287</v>
      </c>
      <c r="E20" s="16" t="s">
        <v>615</v>
      </c>
      <c r="F20" s="16" t="s">
        <v>307</v>
      </c>
      <c r="G20" s="16" t="s">
        <v>1394</v>
      </c>
    </row>
    <row r="21" customFormat="false" ht="15" hidden="false" customHeight="false" outlineLevel="0" collapsed="false">
      <c r="A21" s="15" t="s">
        <v>641</v>
      </c>
      <c r="B21" s="16" t="s">
        <v>1395</v>
      </c>
      <c r="C21" s="16" t="s">
        <v>645</v>
      </c>
      <c r="D21" s="15" t="s">
        <v>647</v>
      </c>
      <c r="E21" s="16" t="s">
        <v>1396</v>
      </c>
      <c r="F21" s="16" t="s">
        <v>307</v>
      </c>
      <c r="G21" s="16" t="s">
        <v>1397</v>
      </c>
    </row>
    <row r="22" customFormat="false" ht="15" hidden="false" customHeight="false" outlineLevel="0" collapsed="false">
      <c r="A22" s="15" t="s">
        <v>505</v>
      </c>
      <c r="B22" s="16" t="s">
        <v>1398</v>
      </c>
      <c r="C22" s="16" t="s">
        <v>1399</v>
      </c>
      <c r="D22" s="15" t="s">
        <v>1355</v>
      </c>
      <c r="E22" s="16" t="s">
        <v>1400</v>
      </c>
      <c r="F22" s="16" t="s">
        <v>307</v>
      </c>
      <c r="G22" s="16" t="s">
        <v>1401</v>
      </c>
    </row>
    <row r="23" customFormat="false" ht="23.85" hidden="false" customHeight="false" outlineLevel="0" collapsed="false">
      <c r="A23" s="15" t="s">
        <v>763</v>
      </c>
      <c r="B23" s="16" t="s">
        <v>1402</v>
      </c>
      <c r="C23" s="16" t="s">
        <v>1403</v>
      </c>
      <c r="D23" s="15" t="s">
        <v>1404</v>
      </c>
      <c r="E23" s="16" t="s">
        <v>1405</v>
      </c>
      <c r="F23" s="16" t="s">
        <v>347</v>
      </c>
      <c r="G23" s="16" t="s">
        <v>1406</v>
      </c>
    </row>
    <row r="24" customFormat="false" ht="23.85" hidden="false" customHeight="false" outlineLevel="0" collapsed="false">
      <c r="A24" s="15" t="s">
        <v>717</v>
      </c>
      <c r="B24" s="16" t="s">
        <v>1407</v>
      </c>
      <c r="C24" s="16" t="s">
        <v>1408</v>
      </c>
      <c r="D24" s="15" t="s">
        <v>1409</v>
      </c>
      <c r="E24" s="16" t="s">
        <v>1410</v>
      </c>
      <c r="F24" s="16" t="s">
        <v>347</v>
      </c>
      <c r="G24" s="16" t="s">
        <v>1411</v>
      </c>
    </row>
    <row r="25" customFormat="false" ht="23.85" hidden="false" customHeight="false" outlineLevel="0" collapsed="false">
      <c r="A25" s="15" t="s">
        <v>832</v>
      </c>
      <c r="B25" s="16" t="s">
        <v>1412</v>
      </c>
      <c r="C25" s="16" t="s">
        <v>1413</v>
      </c>
      <c r="D25" s="15" t="s">
        <v>474</v>
      </c>
      <c r="E25" s="16" t="s">
        <v>238</v>
      </c>
      <c r="F25" s="16" t="s">
        <v>347</v>
      </c>
      <c r="G25" s="16" t="s">
        <v>1414</v>
      </c>
    </row>
    <row r="26" customFormat="false" ht="23.85" hidden="false" customHeight="false" outlineLevel="0" collapsed="false">
      <c r="A26" s="15" t="s">
        <v>756</v>
      </c>
      <c r="B26" s="16" t="s">
        <v>1415</v>
      </c>
      <c r="C26" s="16" t="s">
        <v>1416</v>
      </c>
      <c r="D26" s="15" t="s">
        <v>1417</v>
      </c>
      <c r="E26" s="16" t="s">
        <v>132</v>
      </c>
      <c r="F26" s="16" t="s">
        <v>347</v>
      </c>
      <c r="G26" s="16" t="s">
        <v>1418</v>
      </c>
    </row>
    <row r="27" customFormat="false" ht="46.25" hidden="false" customHeight="false" outlineLevel="0" collapsed="false">
      <c r="A27" s="15" t="s">
        <v>892</v>
      </c>
      <c r="B27" s="16" t="s">
        <v>1419</v>
      </c>
      <c r="C27" s="16" t="s">
        <v>1420</v>
      </c>
      <c r="D27" s="15" t="s">
        <v>1421</v>
      </c>
      <c r="E27" s="16" t="s">
        <v>1422</v>
      </c>
      <c r="F27" s="16" t="s">
        <v>347</v>
      </c>
      <c r="G27" s="16" t="s">
        <v>1423</v>
      </c>
    </row>
    <row r="28" customFormat="false" ht="35.05" hidden="false" customHeight="false" outlineLevel="0" collapsed="false">
      <c r="A28" s="15" t="s">
        <v>874</v>
      </c>
      <c r="B28" s="16" t="s">
        <v>1424</v>
      </c>
      <c r="C28" s="16" t="s">
        <v>1425</v>
      </c>
      <c r="D28" s="15" t="s">
        <v>1426</v>
      </c>
      <c r="E28" s="16" t="s">
        <v>1427</v>
      </c>
      <c r="F28" s="16" t="s">
        <v>347</v>
      </c>
      <c r="G28" s="16" t="s">
        <v>1428</v>
      </c>
    </row>
    <row r="29" customFormat="false" ht="35.05" hidden="false" customHeight="false" outlineLevel="0" collapsed="false">
      <c r="A29" s="15" t="s">
        <v>910</v>
      </c>
      <c r="B29" s="16" t="s">
        <v>1429</v>
      </c>
      <c r="C29" s="16" t="s">
        <v>1430</v>
      </c>
      <c r="D29" s="15" t="s">
        <v>1431</v>
      </c>
      <c r="E29" s="16" t="s">
        <v>1432</v>
      </c>
      <c r="F29" s="16" t="s">
        <v>347</v>
      </c>
      <c r="G29" s="16" t="s">
        <v>1433</v>
      </c>
    </row>
    <row r="30" customFormat="false" ht="35.05" hidden="false" customHeight="false" outlineLevel="0" collapsed="false">
      <c r="A30" s="15" t="s">
        <v>1003</v>
      </c>
      <c r="B30" s="16" t="s">
        <v>1434</v>
      </c>
      <c r="C30" s="16" t="s">
        <v>1435</v>
      </c>
      <c r="D30" s="15" t="s">
        <v>1436</v>
      </c>
      <c r="E30" s="16" t="s">
        <v>1437</v>
      </c>
      <c r="F30" s="16" t="s">
        <v>347</v>
      </c>
      <c r="G30" s="16" t="s">
        <v>1438</v>
      </c>
    </row>
    <row r="31" customFormat="false" ht="23.85" hidden="false" customHeight="false" outlineLevel="0" collapsed="false">
      <c r="A31" s="15" t="s">
        <v>1056</v>
      </c>
      <c r="B31" s="16" t="s">
        <v>1439</v>
      </c>
      <c r="C31" s="16" t="s">
        <v>1440</v>
      </c>
      <c r="D31" s="15" t="s">
        <v>474</v>
      </c>
      <c r="E31" s="16" t="s">
        <v>1441</v>
      </c>
      <c r="F31" s="16" t="s">
        <v>347</v>
      </c>
      <c r="G31" s="16" t="s">
        <v>1442</v>
      </c>
    </row>
    <row r="32" customFormat="false" ht="23.85" hidden="false" customHeight="false" outlineLevel="0" collapsed="false">
      <c r="A32" s="15" t="s">
        <v>612</v>
      </c>
      <c r="B32" s="16" t="s">
        <v>1443</v>
      </c>
      <c r="C32" s="16" t="s">
        <v>1444</v>
      </c>
      <c r="D32" s="15" t="s">
        <v>1445</v>
      </c>
      <c r="E32" s="16" t="s">
        <v>1446</v>
      </c>
      <c r="F32" s="16" t="s">
        <v>1305</v>
      </c>
      <c r="G32" s="16" t="s">
        <v>1447</v>
      </c>
    </row>
    <row r="33" customFormat="false" ht="15" hidden="false" customHeight="false" outlineLevel="0" collapsed="false">
      <c r="A33" s="15" t="s">
        <v>1448</v>
      </c>
      <c r="B33" s="16" t="s">
        <v>1449</v>
      </c>
      <c r="C33" s="16" t="s">
        <v>1450</v>
      </c>
      <c r="D33" s="15" t="s">
        <v>474</v>
      </c>
      <c r="E33" s="16" t="s">
        <v>906</v>
      </c>
      <c r="F33" s="16" t="s">
        <v>1330</v>
      </c>
      <c r="G33" s="16" t="s">
        <v>248</v>
      </c>
    </row>
  </sheetData>
  <autoFilter ref="A3:G33"/>
  <conditionalFormatting sqref="F4:F33">
    <cfRule type="expression" priority="2" aboveAverage="0" equalAverage="0" bottom="0" percent="0" rank="0" text="" dxfId="6">
      <formula>LEFT(F4,7)="Selesai"</formula>
    </cfRule>
    <cfRule type="expression" priority="3" aboveAverage="0" equalAverage="0" bottom="0" percent="0" rank="0" text="" dxfId="7">
      <formula>LEFT(F4,8)="Snapshot"</formula>
    </cfRule>
    <cfRule type="expression" priority="4" aboveAverage="0" equalAverage="0" bottom="0" percent="0" rank="0" text="" dxfId="6">
      <formula>LEFT(F4,8)="Terbukti"</formula>
    </cfRule>
    <cfRule type="expression" priority="5" aboveAverage="0" equalAverage="0" bottom="0" percent="0" rank="0" text="" dxfId="7">
      <formula>LEFT(F4,4)="Test"</formula>
    </cfRule>
    <cfRule type="expression" priority="6" aboveAverage="0" equalAverage="0" bottom="0" percent="0" rank="0" text="" dxfId="8">
      <formula>LEFT(F4,8)="Sebagian"</formula>
    </cfRule>
    <cfRule type="expression" priority="7" aboveAverage="0" equalAverage="0" bottom="0" percent="0" rank="0" text="" dxfId="9">
      <formula>LEFT(F4,5)="Belum"</formula>
    </cfRule>
    <cfRule type="expression" priority="8" aboveAverage="0" equalAverage="0" bottom="0" percent="0" rank="0" text="" dxfId="10">
      <formula>LEFT(F4,5)="Aktif"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B45"/>
    <pageSetUpPr fitToPage="tru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30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3" t="s">
        <v>1451</v>
      </c>
    </row>
    <row r="2" customFormat="false" ht="15" hidden="false" customHeight="false" outlineLevel="0" collapsed="false">
      <c r="A2" s="2" t="s">
        <v>1452</v>
      </c>
    </row>
    <row r="3" customFormat="false" ht="31.5" hidden="false" customHeight="true" outlineLevel="0" collapsed="false">
      <c r="A3" s="14" t="s">
        <v>1453</v>
      </c>
      <c r="B3" s="14" t="s">
        <v>1454</v>
      </c>
      <c r="C3" s="14" t="s">
        <v>1455</v>
      </c>
      <c r="D3" s="14" t="s">
        <v>1456</v>
      </c>
      <c r="E3" s="14" t="s">
        <v>1457</v>
      </c>
      <c r="F3" s="14" t="s">
        <v>64</v>
      </c>
    </row>
    <row r="4" customFormat="false" ht="15" hidden="false" customHeight="false" outlineLevel="0" collapsed="false">
      <c r="A4" s="15" t="s">
        <v>1458</v>
      </c>
      <c r="B4" s="16" t="s">
        <v>1459</v>
      </c>
      <c r="C4" s="16" t="s">
        <v>181</v>
      </c>
      <c r="D4" s="16" t="s">
        <v>1460</v>
      </c>
      <c r="E4" s="16" t="s">
        <v>1461</v>
      </c>
      <c r="F4" s="16" t="s">
        <v>347</v>
      </c>
    </row>
    <row r="5" customFormat="false" ht="15" hidden="false" customHeight="false" outlineLevel="0" collapsed="false">
      <c r="A5" s="15" t="s">
        <v>1462</v>
      </c>
      <c r="B5" s="16" t="s">
        <v>1463</v>
      </c>
      <c r="C5" s="16" t="s">
        <v>181</v>
      </c>
      <c r="D5" s="16" t="s">
        <v>1464</v>
      </c>
      <c r="E5" s="16" t="s">
        <v>1465</v>
      </c>
      <c r="F5" s="16" t="s">
        <v>347</v>
      </c>
    </row>
    <row r="6" customFormat="false" ht="23.85" hidden="false" customHeight="false" outlineLevel="0" collapsed="false">
      <c r="A6" s="15" t="s">
        <v>1466</v>
      </c>
      <c r="B6" s="16" t="s">
        <v>1467</v>
      </c>
      <c r="C6" s="16" t="s">
        <v>181</v>
      </c>
      <c r="D6" s="16" t="s">
        <v>1468</v>
      </c>
      <c r="E6" s="16" t="s">
        <v>1469</v>
      </c>
      <c r="F6" s="16" t="s">
        <v>1470</v>
      </c>
    </row>
    <row r="7" customFormat="false" ht="23.85" hidden="false" customHeight="false" outlineLevel="0" collapsed="false">
      <c r="A7" s="15" t="s">
        <v>1471</v>
      </c>
      <c r="B7" s="16" t="s">
        <v>1472</v>
      </c>
      <c r="C7" s="16" t="s">
        <v>181</v>
      </c>
      <c r="D7" s="16" t="s">
        <v>1473</v>
      </c>
      <c r="E7" s="16" t="s">
        <v>1474</v>
      </c>
      <c r="F7" s="16" t="s">
        <v>347</v>
      </c>
    </row>
    <row r="8" customFormat="false" ht="23.85" hidden="false" customHeight="false" outlineLevel="0" collapsed="false">
      <c r="A8" s="15" t="s">
        <v>1475</v>
      </c>
      <c r="B8" s="16" t="s">
        <v>1476</v>
      </c>
      <c r="C8" s="16" t="s">
        <v>946</v>
      </c>
      <c r="D8" s="16" t="s">
        <v>1477</v>
      </c>
      <c r="E8" s="16" t="s">
        <v>1478</v>
      </c>
      <c r="F8" s="16" t="s">
        <v>347</v>
      </c>
    </row>
    <row r="9" customFormat="false" ht="15" hidden="false" customHeight="false" outlineLevel="0" collapsed="false">
      <c r="A9" s="15" t="s">
        <v>1479</v>
      </c>
      <c r="B9" s="16" t="s">
        <v>1480</v>
      </c>
      <c r="C9" s="16" t="s">
        <v>181</v>
      </c>
      <c r="D9" s="16" t="s">
        <v>564</v>
      </c>
      <c r="E9" s="16" t="s">
        <v>1481</v>
      </c>
      <c r="F9" s="16" t="s">
        <v>347</v>
      </c>
    </row>
    <row r="10" customFormat="false" ht="35.05" hidden="false" customHeight="false" outlineLevel="0" collapsed="false">
      <c r="A10" s="15" t="s">
        <v>1482</v>
      </c>
      <c r="B10" s="16" t="s">
        <v>1483</v>
      </c>
      <c r="C10" s="16" t="s">
        <v>181</v>
      </c>
      <c r="D10" s="16" t="s">
        <v>1484</v>
      </c>
      <c r="E10" s="16" t="s">
        <v>1485</v>
      </c>
      <c r="F10" s="16" t="s">
        <v>347</v>
      </c>
    </row>
    <row r="11" customFormat="false" ht="15" hidden="false" customHeight="false" outlineLevel="0" collapsed="false">
      <c r="A11" s="15" t="s">
        <v>1486</v>
      </c>
      <c r="B11" s="16" t="s">
        <v>1487</v>
      </c>
      <c r="C11" s="16" t="s">
        <v>1488</v>
      </c>
      <c r="D11" s="16" t="s">
        <v>1489</v>
      </c>
      <c r="E11" s="16" t="s">
        <v>1490</v>
      </c>
      <c r="F11" s="16" t="s">
        <v>347</v>
      </c>
    </row>
    <row r="12" customFormat="false" ht="15" hidden="false" customHeight="false" outlineLevel="0" collapsed="false">
      <c r="A12" s="15" t="s">
        <v>1491</v>
      </c>
      <c r="B12" s="16" t="s">
        <v>1492</v>
      </c>
      <c r="C12" s="16" t="s">
        <v>181</v>
      </c>
      <c r="D12" s="16" t="s">
        <v>1493</v>
      </c>
      <c r="E12" s="16" t="s">
        <v>1494</v>
      </c>
      <c r="F12" s="16" t="s">
        <v>347</v>
      </c>
    </row>
    <row r="13" customFormat="false" ht="23.85" hidden="false" customHeight="false" outlineLevel="0" collapsed="false">
      <c r="A13" s="15" t="s">
        <v>1495</v>
      </c>
      <c r="B13" s="16" t="s">
        <v>1496</v>
      </c>
      <c r="C13" s="16" t="s">
        <v>946</v>
      </c>
      <c r="D13" s="16" t="s">
        <v>1497</v>
      </c>
      <c r="E13" s="16" t="s">
        <v>1498</v>
      </c>
      <c r="F13" s="16" t="s">
        <v>347</v>
      </c>
    </row>
    <row r="14" customFormat="false" ht="35.05" hidden="false" customHeight="false" outlineLevel="0" collapsed="false">
      <c r="A14" s="15" t="s">
        <v>1499</v>
      </c>
      <c r="B14" s="16" t="s">
        <v>1500</v>
      </c>
      <c r="C14" s="16" t="s">
        <v>181</v>
      </c>
      <c r="D14" s="16" t="s">
        <v>1501</v>
      </c>
      <c r="E14" s="16" t="s">
        <v>1502</v>
      </c>
      <c r="F14" s="16" t="s">
        <v>347</v>
      </c>
    </row>
    <row r="15" customFormat="false" ht="23.85" hidden="false" customHeight="false" outlineLevel="0" collapsed="false">
      <c r="A15" s="15" t="s">
        <v>1503</v>
      </c>
      <c r="B15" s="16" t="s">
        <v>1504</v>
      </c>
      <c r="C15" s="16" t="s">
        <v>946</v>
      </c>
      <c r="D15" s="16" t="s">
        <v>1505</v>
      </c>
      <c r="E15" s="16" t="s">
        <v>1506</v>
      </c>
      <c r="F15" s="16" t="s">
        <v>347</v>
      </c>
    </row>
    <row r="16" customFormat="false" ht="15" hidden="false" customHeight="false" outlineLevel="0" collapsed="false">
      <c r="A16" s="15" t="s">
        <v>1507</v>
      </c>
      <c r="B16" s="16" t="s">
        <v>1508</v>
      </c>
      <c r="C16" s="16" t="s">
        <v>181</v>
      </c>
      <c r="D16" s="16" t="s">
        <v>1509</v>
      </c>
      <c r="E16" s="16" t="s">
        <v>1510</v>
      </c>
      <c r="F16" s="16" t="s">
        <v>347</v>
      </c>
    </row>
    <row r="17" customFormat="false" ht="23.85" hidden="false" customHeight="false" outlineLevel="0" collapsed="false">
      <c r="A17" s="15" t="s">
        <v>1511</v>
      </c>
      <c r="B17" s="16" t="s">
        <v>1512</v>
      </c>
      <c r="C17" s="16" t="s">
        <v>946</v>
      </c>
      <c r="D17" s="16" t="s">
        <v>1513</v>
      </c>
      <c r="E17" s="16" t="s">
        <v>1514</v>
      </c>
      <c r="F17" s="16" t="s">
        <v>347</v>
      </c>
    </row>
    <row r="18" customFormat="false" ht="23.85" hidden="false" customHeight="false" outlineLevel="0" collapsed="false">
      <c r="A18" s="15" t="s">
        <v>1515</v>
      </c>
      <c r="B18" s="16" t="s">
        <v>1516</v>
      </c>
      <c r="C18" s="16" t="s">
        <v>946</v>
      </c>
      <c r="D18" s="16" t="s">
        <v>1517</v>
      </c>
      <c r="E18" s="16" t="s">
        <v>1518</v>
      </c>
      <c r="F18" s="16" t="s">
        <v>347</v>
      </c>
    </row>
    <row r="19" customFormat="false" ht="23.85" hidden="false" customHeight="false" outlineLevel="0" collapsed="false">
      <c r="A19" s="15" t="s">
        <v>1519</v>
      </c>
      <c r="B19" s="16" t="s">
        <v>1520</v>
      </c>
      <c r="C19" s="16" t="s">
        <v>946</v>
      </c>
      <c r="D19" s="16" t="s">
        <v>1521</v>
      </c>
      <c r="E19" s="16" t="s">
        <v>1522</v>
      </c>
      <c r="F19" s="16" t="s">
        <v>347</v>
      </c>
    </row>
    <row r="20" customFormat="false" ht="23.85" hidden="false" customHeight="false" outlineLevel="0" collapsed="false">
      <c r="A20" s="15" t="s">
        <v>1523</v>
      </c>
      <c r="B20" s="16" t="s">
        <v>1524</v>
      </c>
      <c r="C20" s="16" t="s">
        <v>946</v>
      </c>
      <c r="D20" s="16" t="s">
        <v>1525</v>
      </c>
      <c r="E20" s="16" t="s">
        <v>1526</v>
      </c>
      <c r="F20" s="16" t="s">
        <v>347</v>
      </c>
    </row>
    <row r="21" customFormat="false" ht="23.85" hidden="false" customHeight="false" outlineLevel="0" collapsed="false">
      <c r="A21" s="15" t="s">
        <v>1527</v>
      </c>
      <c r="B21" s="16" t="s">
        <v>1528</v>
      </c>
      <c r="C21" s="16" t="s">
        <v>1529</v>
      </c>
      <c r="D21" s="16" t="s">
        <v>1530</v>
      </c>
      <c r="E21" s="16" t="s">
        <v>1531</v>
      </c>
      <c r="F21" s="16" t="s">
        <v>1532</v>
      </c>
    </row>
  </sheetData>
  <autoFilter ref="A3:F21"/>
  <conditionalFormatting sqref="F4:F21">
    <cfRule type="expression" priority="2" aboveAverage="0" equalAverage="0" bottom="0" percent="0" rank="0" text="" dxfId="6">
      <formula>LEFT(F4,7)="Selesai"</formula>
    </cfRule>
    <cfRule type="expression" priority="3" aboveAverage="0" equalAverage="0" bottom="0" percent="0" rank="0" text="" dxfId="7">
      <formula>LEFT(F4,8)="Snapshot"</formula>
    </cfRule>
    <cfRule type="expression" priority="4" aboveAverage="0" equalAverage="0" bottom="0" percent="0" rank="0" text="" dxfId="6">
      <formula>LEFT(F4,8)="Terbukti"</formula>
    </cfRule>
    <cfRule type="expression" priority="5" aboveAverage="0" equalAverage="0" bottom="0" percent="0" rank="0" text="" dxfId="7">
      <formula>LEFT(F4,4)="Test"</formula>
    </cfRule>
    <cfRule type="expression" priority="6" aboveAverage="0" equalAverage="0" bottom="0" percent="0" rank="0" text="" dxfId="8">
      <formula>LEFT(F4,8)="Sebagian"</formula>
    </cfRule>
    <cfRule type="expression" priority="7" aboveAverage="0" equalAverage="0" bottom="0" percent="0" rank="0" text="" dxfId="9">
      <formula>LEFT(F4,5)="Belum"</formula>
    </cfRule>
    <cfRule type="expression" priority="8" aboveAverage="0" equalAverage="0" bottom="0" percent="0" rank="0" text="" dxfId="10">
      <formula>LEFT(F4,5)="Aktif"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B45"/>
    <pageSetUpPr fitToPage="tru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3" t="s">
        <v>1533</v>
      </c>
    </row>
    <row r="2" customFormat="false" ht="15" hidden="false" customHeight="false" outlineLevel="0" collapsed="false">
      <c r="A2" s="2" t="s">
        <v>1534</v>
      </c>
    </row>
    <row r="3" customFormat="false" ht="31.5" hidden="false" customHeight="true" outlineLevel="0" collapsed="false">
      <c r="A3" s="14" t="s">
        <v>53</v>
      </c>
      <c r="B3" s="14" t="s">
        <v>1533</v>
      </c>
      <c r="C3" s="14" t="s">
        <v>1535</v>
      </c>
      <c r="D3" s="14" t="s">
        <v>1536</v>
      </c>
      <c r="E3" s="14" t="s">
        <v>1537</v>
      </c>
      <c r="F3" s="14" t="s">
        <v>64</v>
      </c>
    </row>
    <row r="4" customFormat="false" ht="23.85" hidden="false" customHeight="false" outlineLevel="0" collapsed="false">
      <c r="A4" s="15" t="s">
        <v>1538</v>
      </c>
      <c r="B4" s="16" t="s">
        <v>1539</v>
      </c>
      <c r="C4" s="15" t="s">
        <v>1540</v>
      </c>
      <c r="D4" s="16" t="s">
        <v>1541</v>
      </c>
      <c r="E4" s="16" t="s">
        <v>1542</v>
      </c>
      <c r="F4" s="16" t="s">
        <v>1543</v>
      </c>
    </row>
    <row r="5" customFormat="false" ht="15" hidden="false" customHeight="false" outlineLevel="0" collapsed="false">
      <c r="A5" s="15" t="s">
        <v>1544</v>
      </c>
      <c r="B5" s="16" t="s">
        <v>1545</v>
      </c>
      <c r="C5" s="15" t="s">
        <v>1546</v>
      </c>
      <c r="D5" s="16" t="s">
        <v>1547</v>
      </c>
      <c r="E5" s="16" t="s">
        <v>1548</v>
      </c>
      <c r="F5" s="16" t="s">
        <v>1549</v>
      </c>
    </row>
    <row r="6" customFormat="false" ht="15" hidden="false" customHeight="false" outlineLevel="0" collapsed="false">
      <c r="A6" s="15" t="s">
        <v>1550</v>
      </c>
      <c r="B6" s="16" t="s">
        <v>1551</v>
      </c>
      <c r="C6" s="15" t="s">
        <v>1546</v>
      </c>
      <c r="D6" s="16" t="s">
        <v>1552</v>
      </c>
      <c r="E6" s="16" t="s">
        <v>1553</v>
      </c>
      <c r="F6" s="16" t="s">
        <v>1554</v>
      </c>
    </row>
    <row r="7" customFormat="false" ht="15" hidden="false" customHeight="false" outlineLevel="0" collapsed="false">
      <c r="A7" s="15" t="s">
        <v>1555</v>
      </c>
      <c r="B7" s="16" t="s">
        <v>1556</v>
      </c>
      <c r="C7" s="15" t="s">
        <v>1546</v>
      </c>
      <c r="D7" s="16" t="s">
        <v>1557</v>
      </c>
      <c r="E7" s="16" t="s">
        <v>140</v>
      </c>
      <c r="F7" s="16" t="s">
        <v>1558</v>
      </c>
    </row>
    <row r="8" customFormat="false" ht="35.05" hidden="false" customHeight="false" outlineLevel="0" collapsed="false">
      <c r="A8" s="15" t="s">
        <v>1559</v>
      </c>
      <c r="B8" s="16" t="s">
        <v>1560</v>
      </c>
      <c r="C8" s="15" t="s">
        <v>1546</v>
      </c>
      <c r="D8" s="16" t="s">
        <v>1561</v>
      </c>
      <c r="E8" s="16" t="s">
        <v>132</v>
      </c>
      <c r="F8" s="16" t="s">
        <v>1562</v>
      </c>
    </row>
    <row r="9" customFormat="false" ht="15" hidden="false" customHeight="false" outlineLevel="0" collapsed="false">
      <c r="A9" s="15" t="s">
        <v>1563</v>
      </c>
      <c r="B9" s="16" t="s">
        <v>1564</v>
      </c>
      <c r="C9" s="15" t="s">
        <v>1546</v>
      </c>
      <c r="D9" s="16" t="s">
        <v>1565</v>
      </c>
      <c r="E9" s="16" t="s">
        <v>123</v>
      </c>
      <c r="F9" s="16" t="s">
        <v>1566</v>
      </c>
    </row>
    <row r="10" customFormat="false" ht="15" hidden="false" customHeight="false" outlineLevel="0" collapsed="false">
      <c r="A10" s="15" t="s">
        <v>1567</v>
      </c>
      <c r="B10" s="16" t="s">
        <v>1568</v>
      </c>
      <c r="C10" s="15" t="s">
        <v>1546</v>
      </c>
      <c r="D10" s="16" t="s">
        <v>1569</v>
      </c>
      <c r="E10" s="16" t="s">
        <v>1553</v>
      </c>
      <c r="F10" s="16" t="s">
        <v>1570</v>
      </c>
    </row>
    <row r="11" customFormat="false" ht="15" hidden="false" customHeight="false" outlineLevel="0" collapsed="false">
      <c r="A11" s="15" t="s">
        <v>1571</v>
      </c>
      <c r="B11" s="16" t="s">
        <v>1572</v>
      </c>
      <c r="C11" s="15" t="s">
        <v>1573</v>
      </c>
      <c r="D11" s="16" t="s">
        <v>1574</v>
      </c>
      <c r="E11" s="16" t="s">
        <v>594</v>
      </c>
      <c r="F11" s="16" t="s">
        <v>1575</v>
      </c>
    </row>
    <row r="12" customFormat="false" ht="15" hidden="false" customHeight="false" outlineLevel="0" collapsed="false">
      <c r="A12" s="15" t="s">
        <v>1576</v>
      </c>
      <c r="B12" s="16" t="s">
        <v>1577</v>
      </c>
      <c r="C12" s="15" t="s">
        <v>1578</v>
      </c>
      <c r="D12" s="16" t="s">
        <v>1579</v>
      </c>
      <c r="E12" s="16" t="s">
        <v>132</v>
      </c>
      <c r="F12" s="16" t="s">
        <v>1570</v>
      </c>
    </row>
    <row r="13" customFormat="false" ht="23.85" hidden="false" customHeight="false" outlineLevel="0" collapsed="false">
      <c r="A13" s="15" t="s">
        <v>1580</v>
      </c>
      <c r="B13" s="16" t="s">
        <v>1581</v>
      </c>
      <c r="C13" s="15" t="s">
        <v>1578</v>
      </c>
      <c r="D13" s="16" t="s">
        <v>1582</v>
      </c>
      <c r="E13" s="16" t="s">
        <v>124</v>
      </c>
      <c r="F13" s="16" t="s">
        <v>1583</v>
      </c>
    </row>
    <row r="14" customFormat="false" ht="23.85" hidden="false" customHeight="false" outlineLevel="0" collapsed="false">
      <c r="A14" s="15" t="s">
        <v>1584</v>
      </c>
      <c r="B14" s="16" t="s">
        <v>1585</v>
      </c>
      <c r="C14" s="15" t="s">
        <v>1540</v>
      </c>
      <c r="D14" s="16" t="s">
        <v>1586</v>
      </c>
      <c r="E14" s="16" t="s">
        <v>1587</v>
      </c>
      <c r="F14" s="16" t="s">
        <v>1588</v>
      </c>
    </row>
    <row r="15" customFormat="false" ht="15" hidden="false" customHeight="false" outlineLevel="0" collapsed="false">
      <c r="A15" s="15" t="s">
        <v>1589</v>
      </c>
      <c r="B15" s="16" t="s">
        <v>1590</v>
      </c>
      <c r="C15" s="15" t="s">
        <v>1578</v>
      </c>
      <c r="D15" s="16" t="s">
        <v>1591</v>
      </c>
      <c r="E15" s="16" t="s">
        <v>575</v>
      </c>
      <c r="F15" s="16" t="s">
        <v>1592</v>
      </c>
    </row>
    <row r="16" customFormat="false" ht="15" hidden="false" customHeight="false" outlineLevel="0" collapsed="false">
      <c r="A16" s="15" t="s">
        <v>1593</v>
      </c>
      <c r="B16" s="16" t="s">
        <v>1594</v>
      </c>
      <c r="C16" s="15" t="s">
        <v>1546</v>
      </c>
      <c r="D16" s="16" t="s">
        <v>1595</v>
      </c>
      <c r="E16" s="16" t="s">
        <v>132</v>
      </c>
      <c r="F16" s="16" t="s">
        <v>1596</v>
      </c>
    </row>
    <row r="17" customFormat="false" ht="23.85" hidden="false" customHeight="false" outlineLevel="0" collapsed="false">
      <c r="A17" s="15" t="s">
        <v>1597</v>
      </c>
      <c r="B17" s="16" t="s">
        <v>1598</v>
      </c>
      <c r="C17" s="15" t="s">
        <v>1578</v>
      </c>
      <c r="D17" s="16" t="s">
        <v>1599</v>
      </c>
      <c r="E17" s="16" t="s">
        <v>1600</v>
      </c>
      <c r="F17" s="16" t="s">
        <v>1601</v>
      </c>
    </row>
    <row r="18" customFormat="false" ht="15" hidden="false" customHeight="false" outlineLevel="0" collapsed="false">
      <c r="A18" s="15" t="s">
        <v>1602</v>
      </c>
      <c r="B18" s="16" t="s">
        <v>1603</v>
      </c>
      <c r="C18" s="15" t="s">
        <v>1578</v>
      </c>
      <c r="D18" s="16" t="s">
        <v>1604</v>
      </c>
      <c r="E18" s="16" t="s">
        <v>1605</v>
      </c>
      <c r="F18" s="16" t="s">
        <v>1606</v>
      </c>
    </row>
    <row r="19" customFormat="false" ht="15" hidden="false" customHeight="false" outlineLevel="0" collapsed="false">
      <c r="A19" s="15" t="s">
        <v>1607</v>
      </c>
      <c r="B19" s="16" t="s">
        <v>1608</v>
      </c>
      <c r="C19" s="15" t="s">
        <v>1546</v>
      </c>
      <c r="D19" s="16" t="s">
        <v>1609</v>
      </c>
      <c r="E19" s="16" t="s">
        <v>123</v>
      </c>
      <c r="F19" s="16" t="s">
        <v>1610</v>
      </c>
    </row>
    <row r="20" customFormat="false" ht="15" hidden="false" customHeight="false" outlineLevel="0" collapsed="false">
      <c r="A20" s="15" t="s">
        <v>1611</v>
      </c>
      <c r="B20" s="16" t="s">
        <v>1612</v>
      </c>
      <c r="C20" s="15" t="s">
        <v>1578</v>
      </c>
      <c r="D20" s="16" t="s">
        <v>1365</v>
      </c>
      <c r="E20" s="16" t="s">
        <v>1613</v>
      </c>
      <c r="F20" s="16" t="s">
        <v>1614</v>
      </c>
    </row>
    <row r="21" customFormat="false" ht="15" hidden="false" customHeight="false" outlineLevel="0" collapsed="false">
      <c r="A21" s="15" t="s">
        <v>1615</v>
      </c>
      <c r="B21" s="16" t="s">
        <v>1616</v>
      </c>
      <c r="C21" s="15" t="s">
        <v>1546</v>
      </c>
      <c r="D21" s="16" t="s">
        <v>1617</v>
      </c>
      <c r="E21" s="16" t="s">
        <v>123</v>
      </c>
      <c r="F21" s="16" t="s">
        <v>1610</v>
      </c>
    </row>
    <row r="22" customFormat="false" ht="23.85" hidden="false" customHeight="false" outlineLevel="0" collapsed="false">
      <c r="A22" s="15" t="s">
        <v>1618</v>
      </c>
      <c r="B22" s="16" t="s">
        <v>1619</v>
      </c>
      <c r="C22" s="15" t="s">
        <v>1540</v>
      </c>
      <c r="D22" s="16" t="s">
        <v>1620</v>
      </c>
      <c r="E22" s="16" t="s">
        <v>1621</v>
      </c>
      <c r="F22" s="16" t="s">
        <v>1622</v>
      </c>
    </row>
    <row r="23" customFormat="false" ht="15" hidden="false" customHeight="false" outlineLevel="0" collapsed="false">
      <c r="A23" s="15" t="s">
        <v>1623</v>
      </c>
      <c r="B23" s="16" t="s">
        <v>1624</v>
      </c>
      <c r="C23" s="15" t="s">
        <v>1546</v>
      </c>
      <c r="D23" s="16" t="s">
        <v>1625</v>
      </c>
      <c r="E23" s="16" t="s">
        <v>1626</v>
      </c>
      <c r="F23" s="16" t="s">
        <v>1627</v>
      </c>
    </row>
    <row r="24" customFormat="false" ht="15" hidden="false" customHeight="false" outlineLevel="0" collapsed="false">
      <c r="A24" s="15" t="s">
        <v>1628</v>
      </c>
      <c r="B24" s="16" t="s">
        <v>1629</v>
      </c>
      <c r="C24" s="15" t="s">
        <v>1578</v>
      </c>
      <c r="D24" s="16" t="s">
        <v>1630</v>
      </c>
      <c r="E24" s="16" t="s">
        <v>1631</v>
      </c>
      <c r="F24" s="16" t="s">
        <v>1632</v>
      </c>
    </row>
    <row r="25" customFormat="false" ht="15" hidden="false" customHeight="false" outlineLevel="0" collapsed="false">
      <c r="A25" s="15" t="s">
        <v>1633</v>
      </c>
      <c r="B25" s="16" t="s">
        <v>1634</v>
      </c>
      <c r="C25" s="15" t="s">
        <v>1578</v>
      </c>
      <c r="D25" s="16" t="s">
        <v>1635</v>
      </c>
      <c r="E25" s="16" t="s">
        <v>1626</v>
      </c>
      <c r="F25" s="16" t="s">
        <v>1636</v>
      </c>
    </row>
    <row r="26" customFormat="false" ht="23.85" hidden="false" customHeight="false" outlineLevel="0" collapsed="false">
      <c r="A26" s="15" t="s">
        <v>1637</v>
      </c>
      <c r="B26" s="16" t="s">
        <v>1638</v>
      </c>
      <c r="C26" s="15" t="s">
        <v>1578</v>
      </c>
      <c r="D26" s="16" t="s">
        <v>1639</v>
      </c>
      <c r="E26" s="16" t="s">
        <v>594</v>
      </c>
      <c r="F26" s="16" t="s">
        <v>1640</v>
      </c>
    </row>
    <row r="27" customFormat="false" ht="23.85" hidden="false" customHeight="false" outlineLevel="0" collapsed="false">
      <c r="A27" s="15" t="s">
        <v>1641</v>
      </c>
      <c r="B27" s="16" t="s">
        <v>1642</v>
      </c>
      <c r="C27" s="15" t="s">
        <v>1546</v>
      </c>
      <c r="D27" s="16" t="s">
        <v>1643</v>
      </c>
      <c r="E27" s="16" t="s">
        <v>1542</v>
      </c>
      <c r="F27" s="16" t="s">
        <v>1644</v>
      </c>
    </row>
    <row r="28" customFormat="false" ht="23.85" hidden="false" customHeight="false" outlineLevel="0" collapsed="false">
      <c r="A28" s="15" t="s">
        <v>1645</v>
      </c>
      <c r="B28" s="16" t="s">
        <v>1646</v>
      </c>
      <c r="C28" s="15" t="s">
        <v>1546</v>
      </c>
      <c r="D28" s="16" t="s">
        <v>1647</v>
      </c>
      <c r="E28" s="16" t="s">
        <v>1542</v>
      </c>
      <c r="F28" s="16" t="s">
        <v>1648</v>
      </c>
    </row>
    <row r="29" customFormat="false" ht="23.85" hidden="false" customHeight="false" outlineLevel="0" collapsed="false">
      <c r="A29" s="15" t="s">
        <v>1649</v>
      </c>
      <c r="B29" s="16" t="s">
        <v>1650</v>
      </c>
      <c r="C29" s="15" t="s">
        <v>1540</v>
      </c>
      <c r="D29" s="16" t="s">
        <v>1651</v>
      </c>
      <c r="E29" s="16" t="s">
        <v>1652</v>
      </c>
      <c r="F29" s="16" t="s">
        <v>1653</v>
      </c>
    </row>
    <row r="30" customFormat="false" ht="23.85" hidden="false" customHeight="false" outlineLevel="0" collapsed="false">
      <c r="A30" s="15" t="s">
        <v>1654</v>
      </c>
      <c r="B30" s="16" t="s">
        <v>1655</v>
      </c>
      <c r="C30" s="15" t="s">
        <v>1578</v>
      </c>
      <c r="D30" s="16" t="s">
        <v>1656</v>
      </c>
      <c r="E30" s="16" t="s">
        <v>1605</v>
      </c>
      <c r="F30" s="16" t="s">
        <v>1653</v>
      </c>
    </row>
    <row r="31" customFormat="false" ht="23.85" hidden="false" customHeight="false" outlineLevel="0" collapsed="false">
      <c r="A31" s="15" t="s">
        <v>1657</v>
      </c>
      <c r="B31" s="16" t="s">
        <v>1658</v>
      </c>
      <c r="C31" s="15" t="s">
        <v>1546</v>
      </c>
      <c r="D31" s="16" t="s">
        <v>1659</v>
      </c>
      <c r="E31" s="16" t="s">
        <v>1660</v>
      </c>
      <c r="F31" s="16" t="s">
        <v>1610</v>
      </c>
    </row>
    <row r="32" customFormat="false" ht="15" hidden="false" customHeight="false" outlineLevel="0" collapsed="false">
      <c r="A32" s="15" t="s">
        <v>1661</v>
      </c>
      <c r="B32" s="16" t="s">
        <v>1662</v>
      </c>
      <c r="C32" s="15" t="s">
        <v>1663</v>
      </c>
      <c r="D32" s="16" t="s">
        <v>1664</v>
      </c>
      <c r="E32" s="16" t="s">
        <v>124</v>
      </c>
      <c r="F32" s="16" t="s">
        <v>1665</v>
      </c>
    </row>
  </sheetData>
  <autoFilter ref="A3:F32"/>
  <conditionalFormatting sqref="C4:C32">
    <cfRule type="cellIs" priority="2" operator="equal" aboveAverage="0" equalAverage="0" bottom="0" percent="0" rank="0" text="" dxfId="18">
      <formula>"Critical"</formula>
    </cfRule>
    <cfRule type="cellIs" priority="3" operator="equal" aboveAverage="0" equalAverage="0" bottom="0" percent="0" rank="0" text="" dxfId="10">
      <formula>"High"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2026-10-23T07:00:37Z</dcterms:created>
  <dc:creator>openpyxl</dc:creator>
  <dc:description/>
  <dc:language>en-US</dc:language>
  <cp:lastModifiedBy/>
  <dcterms:modified xsi:type="dcterms:W3CDTF">2026-10-23T07:00:37Z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